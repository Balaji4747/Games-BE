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reeLance\Math\Fushen Chong\Crypto\"/>
    </mc:Choice>
  </mc:AlternateContent>
  <xr:revisionPtr revIDLastSave="0" documentId="13_ncr:1_{A16E8B7C-8756-45F7-A491-C054B5B86986}" xr6:coauthVersionLast="47" xr6:coauthVersionMax="47" xr10:uidLastSave="{00000000-0000-0000-0000-000000000000}"/>
  <bookViews>
    <workbookView xWindow="-108" yWindow="-108" windowWidth="23256" windowHeight="12456" xr2:uid="{B4F332A6-CCB5-4FF2-B02A-B6A73D912C9B}"/>
  </bookViews>
  <sheets>
    <sheet name="Low" sheetId="3" r:id="rId1"/>
    <sheet name="Medium" sheetId="1" r:id="rId2"/>
    <sheet name="High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8" i="3" l="1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F15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Z20" i="3" l="1"/>
  <c r="B14" i="2"/>
  <c r="Z13" i="2"/>
  <c r="V10" i="2"/>
  <c r="V16" i="3"/>
  <c r="N14" i="3"/>
  <c r="J10" i="3"/>
  <c r="B4" i="2"/>
  <c r="B12" i="2"/>
  <c r="B11" i="2"/>
  <c r="B10" i="2"/>
  <c r="B9" i="2"/>
  <c r="B8" i="2"/>
  <c r="B7" i="2"/>
  <c r="B6" i="2"/>
  <c r="B5" i="2"/>
  <c r="B12" i="3"/>
  <c r="B11" i="3"/>
  <c r="B10" i="3"/>
  <c r="B9" i="3"/>
  <c r="B8" i="3"/>
  <c r="B7" i="3"/>
  <c r="B6" i="3"/>
  <c r="B5" i="3"/>
  <c r="B4" i="3"/>
  <c r="B12" i="1"/>
  <c r="B11" i="1"/>
  <c r="B10" i="1"/>
  <c r="B9" i="1"/>
  <c r="B8" i="1"/>
  <c r="B7" i="1"/>
  <c r="B6" i="1"/>
  <c r="B5" i="1"/>
  <c r="B4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AH16" i="3"/>
  <c r="F12" i="3"/>
  <c r="F6" i="3"/>
  <c r="F8" i="3"/>
  <c r="F7" i="3"/>
  <c r="B14" i="3"/>
  <c r="AH18" i="2"/>
  <c r="R18" i="2"/>
  <c r="N17" i="2"/>
  <c r="R16" i="2"/>
  <c r="AH15" i="2"/>
  <c r="R15" i="2"/>
  <c r="N15" i="2"/>
  <c r="R14" i="2"/>
  <c r="N14" i="2"/>
  <c r="J14" i="2"/>
  <c r="R13" i="2"/>
  <c r="N13" i="2"/>
  <c r="J13" i="2"/>
  <c r="F13" i="2"/>
  <c r="AH16" i="2"/>
  <c r="AH12" i="2"/>
  <c r="AD12" i="2"/>
  <c r="R12" i="2"/>
  <c r="N12" i="2"/>
  <c r="J12" i="2"/>
  <c r="F12" i="2"/>
  <c r="AD18" i="2"/>
  <c r="R11" i="2"/>
  <c r="N11" i="2"/>
  <c r="J11" i="2"/>
  <c r="R10" i="2"/>
  <c r="N10" i="2"/>
  <c r="J10" i="2"/>
  <c r="F10" i="2"/>
  <c r="AH9" i="2"/>
  <c r="R9" i="2"/>
  <c r="N9" i="2"/>
  <c r="J9" i="2"/>
  <c r="F9" i="2"/>
  <c r="AH8" i="2"/>
  <c r="AD8" i="2"/>
  <c r="R8" i="2"/>
  <c r="N8" i="2"/>
  <c r="J8" i="2"/>
  <c r="F6" i="2"/>
  <c r="F8" i="2"/>
  <c r="R7" i="2"/>
  <c r="N7" i="2"/>
  <c r="J7" i="2"/>
  <c r="F7" i="2"/>
  <c r="AH6" i="2"/>
  <c r="R6" i="2"/>
  <c r="N6" i="2"/>
  <c r="J6" i="2"/>
  <c r="AH5" i="2"/>
  <c r="R5" i="2"/>
  <c r="N5" i="2"/>
  <c r="J5" i="2"/>
  <c r="F5" i="2"/>
  <c r="AH4" i="2"/>
  <c r="R4" i="2"/>
  <c r="N4" i="2"/>
  <c r="J4" i="2"/>
  <c r="F4" i="2"/>
  <c r="AH19" i="1"/>
  <c r="AD11" i="1"/>
  <c r="Z4" i="1"/>
  <c r="V4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N17" i="1"/>
  <c r="R18" i="1"/>
  <c r="N15" i="1"/>
  <c r="N14" i="1"/>
  <c r="N13" i="1"/>
  <c r="N12" i="1"/>
  <c r="N11" i="1"/>
  <c r="N10" i="1"/>
  <c r="N9" i="1"/>
  <c r="N8" i="1"/>
  <c r="N7" i="1"/>
  <c r="N6" i="1"/>
  <c r="N5" i="1"/>
  <c r="N4" i="1"/>
  <c r="J14" i="1"/>
  <c r="J13" i="1"/>
  <c r="J12" i="1"/>
  <c r="J11" i="1"/>
  <c r="J10" i="1"/>
  <c r="J9" i="1"/>
  <c r="J8" i="1"/>
  <c r="J7" i="1"/>
  <c r="J6" i="1"/>
  <c r="J5" i="1"/>
  <c r="J4" i="1"/>
  <c r="F13" i="1"/>
  <c r="J16" i="1" l="1"/>
  <c r="Z5" i="2"/>
  <c r="Z16" i="2"/>
  <c r="Z11" i="2"/>
  <c r="Z15" i="2"/>
  <c r="Z7" i="2"/>
  <c r="Z6" i="2"/>
  <c r="Z10" i="2"/>
  <c r="Z4" i="2"/>
  <c r="Z14" i="2"/>
  <c r="Z9" i="2"/>
  <c r="V6" i="2"/>
  <c r="V11" i="2"/>
  <c r="V12" i="2"/>
  <c r="V4" i="2"/>
  <c r="V15" i="2"/>
  <c r="V9" i="2"/>
  <c r="V16" i="2"/>
  <c r="V8" i="2"/>
  <c r="V14" i="2"/>
  <c r="V7" i="2"/>
  <c r="V17" i="2"/>
  <c r="V13" i="2"/>
  <c r="V5" i="2"/>
  <c r="J16" i="2"/>
  <c r="AH15" i="3"/>
  <c r="AH18" i="3"/>
  <c r="AH8" i="3"/>
  <c r="AH12" i="3"/>
  <c r="AD18" i="3"/>
  <c r="AD8" i="3"/>
  <c r="AD12" i="3"/>
  <c r="V17" i="3"/>
  <c r="V6" i="3"/>
  <c r="V4" i="3"/>
  <c r="V9" i="3"/>
  <c r="V7" i="3"/>
  <c r="V12" i="3"/>
  <c r="V15" i="3"/>
  <c r="V11" i="3"/>
  <c r="V8" i="3"/>
  <c r="V13" i="3"/>
  <c r="V14" i="3"/>
  <c r="V10" i="3"/>
  <c r="V5" i="3"/>
  <c r="R18" i="3"/>
  <c r="N17" i="3"/>
  <c r="N15" i="3"/>
  <c r="N12" i="3"/>
  <c r="N6" i="3"/>
  <c r="N9" i="3"/>
  <c r="N11" i="3"/>
  <c r="N8" i="3"/>
  <c r="N5" i="3"/>
  <c r="N10" i="3"/>
  <c r="N7" i="3"/>
  <c r="N13" i="3"/>
  <c r="N4" i="3"/>
  <c r="J5" i="3"/>
  <c r="J12" i="3"/>
  <c r="J14" i="3"/>
  <c r="J9" i="3"/>
  <c r="J13" i="3"/>
  <c r="J4" i="3"/>
  <c r="J8" i="3"/>
  <c r="J11" i="3"/>
  <c r="J7" i="3"/>
  <c r="J6" i="3"/>
  <c r="AD14" i="3"/>
  <c r="AH13" i="3"/>
  <c r="F9" i="3"/>
  <c r="AH9" i="3"/>
  <c r="AD10" i="3"/>
  <c r="F13" i="3"/>
  <c r="AD17" i="3"/>
  <c r="AH19" i="3"/>
  <c r="AD4" i="3"/>
  <c r="AH4" i="3"/>
  <c r="AD5" i="3"/>
  <c r="AH10" i="3"/>
  <c r="AH17" i="3"/>
  <c r="AH14" i="3"/>
  <c r="AD11" i="3"/>
  <c r="AH20" i="3"/>
  <c r="AD9" i="3"/>
  <c r="AH5" i="3"/>
  <c r="F10" i="3"/>
  <c r="F5" i="3"/>
  <c r="AH6" i="3"/>
  <c r="AD7" i="3"/>
  <c r="F11" i="3"/>
  <c r="AD16" i="3"/>
  <c r="AD15" i="3"/>
  <c r="AD13" i="3"/>
  <c r="AD19" i="3"/>
  <c r="F4" i="3"/>
  <c r="AD6" i="3"/>
  <c r="AH7" i="3"/>
  <c r="AH11" i="3"/>
  <c r="AD9" i="2"/>
  <c r="AH13" i="2"/>
  <c r="AH14" i="2"/>
  <c r="Z17" i="2"/>
  <c r="AD19" i="2"/>
  <c r="F15" i="2"/>
  <c r="AD17" i="2"/>
  <c r="AH19" i="2"/>
  <c r="AD15" i="2"/>
  <c r="AD13" i="2"/>
  <c r="AD10" i="2"/>
  <c r="AD5" i="2"/>
  <c r="AH10" i="2"/>
  <c r="AH17" i="2"/>
  <c r="AD14" i="2"/>
  <c r="AD4" i="2"/>
  <c r="AD11" i="2"/>
  <c r="AH20" i="2"/>
  <c r="AD6" i="2"/>
  <c r="AD7" i="2"/>
  <c r="F11" i="2"/>
  <c r="Z12" i="2"/>
  <c r="AD16" i="2"/>
  <c r="Z18" i="2"/>
  <c r="AH7" i="2"/>
  <c r="Z8" i="2"/>
  <c r="AH11" i="2"/>
  <c r="AH14" i="1"/>
  <c r="AH7" i="1"/>
  <c r="AH16" i="1"/>
  <c r="AH17" i="1"/>
  <c r="AH10" i="1"/>
  <c r="AH18" i="1"/>
  <c r="AH4" i="1"/>
  <c r="AH12" i="1"/>
  <c r="AH20" i="1"/>
  <c r="AH5" i="1"/>
  <c r="AH13" i="1"/>
  <c r="AH6" i="1"/>
  <c r="AH15" i="1"/>
  <c r="AH8" i="1"/>
  <c r="AH9" i="1"/>
  <c r="AH11" i="1"/>
  <c r="AD4" i="1"/>
  <c r="AD12" i="1"/>
  <c r="AD5" i="1"/>
  <c r="AD14" i="1"/>
  <c r="AD15" i="1"/>
  <c r="AD8" i="1"/>
  <c r="AD16" i="1"/>
  <c r="AD9" i="1"/>
  <c r="AD17" i="1"/>
  <c r="AD13" i="1"/>
  <c r="AD6" i="1"/>
  <c r="AD7" i="1"/>
  <c r="AD10" i="1"/>
  <c r="AD18" i="1"/>
  <c r="AD19" i="1"/>
  <c r="Z12" i="1"/>
  <c r="Z15" i="1"/>
  <c r="Z5" i="1"/>
  <c r="Z18" i="1"/>
  <c r="Z7" i="1"/>
  <c r="Z11" i="1"/>
  <c r="Z13" i="1"/>
  <c r="Z6" i="1"/>
  <c r="Z14" i="1"/>
  <c r="Z8" i="1"/>
  <c r="Z16" i="1"/>
  <c r="Z9" i="1"/>
  <c r="Z17" i="1"/>
  <c r="Z10" i="1"/>
  <c r="V19" i="1"/>
  <c r="F11" i="1"/>
  <c r="F10" i="1"/>
  <c r="F9" i="1"/>
  <c r="F8" i="1"/>
  <c r="F7" i="1"/>
  <c r="F6" i="1"/>
  <c r="F4" i="1"/>
  <c r="F5" i="1"/>
  <c r="F12" i="1"/>
  <c r="F15" i="1"/>
  <c r="B14" i="1"/>
  <c r="V19" i="2" l="1"/>
  <c r="AD21" i="1"/>
  <c r="AH22" i="2"/>
  <c r="Z20" i="2"/>
  <c r="V19" i="3"/>
  <c r="J16" i="3"/>
  <c r="AH22" i="3"/>
  <c r="AD21" i="3"/>
  <c r="AD21" i="2"/>
  <c r="AH22" i="1"/>
  <c r="Z20" i="1"/>
</calcChain>
</file>

<file path=xl/sharedStrings.xml><?xml version="1.0" encoding="utf-8"?>
<sst xmlns="http://schemas.openxmlformats.org/spreadsheetml/2006/main" count="135" uniqueCount="13">
  <si>
    <t>Rows: 8</t>
  </si>
  <si>
    <t>Value</t>
  </si>
  <si>
    <t>Probability</t>
  </si>
  <si>
    <t>Weight</t>
  </si>
  <si>
    <t>RTP</t>
  </si>
  <si>
    <t>Rows : 9</t>
  </si>
  <si>
    <t>Rows: 10</t>
  </si>
  <si>
    <t>Rows: 11</t>
  </si>
  <si>
    <t>Rows: 12</t>
  </si>
  <si>
    <t>Rows: 13</t>
  </si>
  <si>
    <t>Rows: 14</t>
  </si>
  <si>
    <t>Rows: 15</t>
  </si>
  <si>
    <t>Rows: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</si>
</sst>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"/>
    <numFmt numFmtId="166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10" fontId="0" fillId="0" borderId="0" xfId="1" applyNumberFormat="1" applyFont="1"/>
    <xf numFmtId="0" fontId="2" fillId="2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" fontId="0" fillId="0" borderId="0" xfId="0" applyNumberFormat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8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" fontId="0" fillId="0" borderId="8" xfId="0" applyNumberFormat="1" applyBorder="1" applyAlignment="1">
      <alignment horizontal="right"/>
    </xf>
    <xf numFmtId="1" fontId="0" fillId="0" borderId="9" xfId="0" applyNumberFormat="1" applyBorder="1" applyAlignment="1">
      <alignment horizontal="right"/>
    </xf>
    <xf numFmtId="1" fontId="0" fillId="0" borderId="10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E6BA-D915-47B1-AD8C-8101F164195D}">
  <dimension ref="A2:AI24"/>
  <sheetViews>
    <sheetView tabSelected="1" zoomScale="101" workbookViewId="0"/>
  </sheetViews>
  <sheetFormatPr defaultRowHeight="14.4" x14ac:dyDescent="0.3"/>
  <cols>
    <col min="2" max="2" width="9.6640625" bestFit="1" customWidth="1"/>
    <col min="3" max="3" width="12.21875" customWidth="1"/>
    <col min="6" max="6" width="11" customWidth="1"/>
    <col min="7" max="7" width="10.21875" customWidth="1"/>
    <col min="10" max="10" width="11" customWidth="1"/>
    <col min="11" max="11" width="9.6640625" customWidth="1"/>
    <col min="14" max="15" width="10.33203125" customWidth="1"/>
    <col min="18" max="18" width="9.6640625" bestFit="1" customWidth="1"/>
    <col min="19" max="19" width="9.6640625" customWidth="1"/>
    <col min="22" max="23" width="9.44140625" customWidth="1"/>
    <col min="26" max="27" width="10.109375" customWidth="1"/>
    <col min="30" max="31" width="9.5546875" customWidth="1"/>
    <col min="34" max="34" width="10.109375" customWidth="1"/>
    <col min="35" max="35" width="10" bestFit="1" customWidth="1"/>
  </cols>
  <sheetData>
    <row r="2" spans="1:35" ht="15" thickBot="1" x14ac:dyDescent="0.35">
      <c r="A2" s="2" t="s">
        <v>0</v>
      </c>
      <c r="E2" s="2" t="s">
        <v>5</v>
      </c>
      <c r="I2" s="2" t="s">
        <v>6</v>
      </c>
      <c r="M2" s="2" t="s">
        <v>7</v>
      </c>
      <c r="Q2" s="2" t="s">
        <v>8</v>
      </c>
      <c r="U2" s="2" t="s">
        <v>9</v>
      </c>
      <c r="Y2" s="2" t="s">
        <v>10</v>
      </c>
      <c r="AC2" s="2" t="s">
        <v>11</v>
      </c>
      <c r="AG2" s="2" t="s">
        <v>12</v>
      </c>
    </row>
    <row r="3" spans="1:35" ht="15" thickBot="1" x14ac:dyDescent="0.35">
      <c r="A3" s="10" t="s">
        <v>1</v>
      </c>
      <c r="B3" s="11" t="s">
        <v>2</v>
      </c>
      <c r="C3" s="10" t="s">
        <v>3</v>
      </c>
      <c r="E3" s="3" t="s">
        <v>1</v>
      </c>
      <c r="F3" s="10" t="s">
        <v>2</v>
      </c>
      <c r="G3" s="10" t="s">
        <v>3</v>
      </c>
      <c r="I3" s="12" t="s">
        <v>1</v>
      </c>
      <c r="J3" s="10" t="s">
        <v>2</v>
      </c>
      <c r="K3" s="7" t="s">
        <v>3</v>
      </c>
      <c r="M3" s="10" t="s">
        <v>1</v>
      </c>
      <c r="N3" s="10" t="s">
        <v>2</v>
      </c>
      <c r="O3" s="7" t="s">
        <v>3</v>
      </c>
      <c r="Q3" s="12" t="s">
        <v>1</v>
      </c>
      <c r="R3" s="11" t="s">
        <v>2</v>
      </c>
      <c r="S3" s="7" t="s">
        <v>3</v>
      </c>
      <c r="U3" s="3" t="s">
        <v>1</v>
      </c>
      <c r="V3" s="10" t="s">
        <v>2</v>
      </c>
      <c r="W3" s="7" t="s">
        <v>3</v>
      </c>
      <c r="Y3" s="10" t="s">
        <v>1</v>
      </c>
      <c r="Z3" s="4" t="s">
        <v>2</v>
      </c>
      <c r="AA3" s="7" t="s">
        <v>3</v>
      </c>
      <c r="AC3" s="10" t="s">
        <v>1</v>
      </c>
      <c r="AD3" s="10" t="s">
        <v>2</v>
      </c>
      <c r="AE3" s="4" t="s">
        <v>3</v>
      </c>
      <c r="AG3" s="10" t="s">
        <v>1</v>
      </c>
      <c r="AH3" s="4" t="s">
        <v>2</v>
      </c>
      <c r="AI3" s="4" t="s">
        <v>3</v>
      </c>
    </row>
    <row r="4" spans="1:35" x14ac:dyDescent="0.3">
      <c r="A4" s="8">
        <v>5.6</v>
      </c>
      <c r="B4" s="13">
        <f>C4/SUM($C$4:$C$12)</f>
        <v>4.5197129712160906E-3</v>
      </c>
      <c r="C4" s="19">
        <v>4016</v>
      </c>
      <c r="E4" s="7">
        <v>5.6</v>
      </c>
      <c r="F4" s="29">
        <f>G4/SUM($G$4:$G$13)</f>
        <v>5.0214152752867157E-3</v>
      </c>
      <c r="G4" s="31">
        <v>5325</v>
      </c>
      <c r="H4" s="18"/>
      <c r="I4" s="5">
        <v>8.9</v>
      </c>
      <c r="J4" s="33">
        <f>K4/SUM($K$4:$K$14)</f>
        <v>2.5219477616009599E-3</v>
      </c>
      <c r="K4" s="19">
        <v>2590</v>
      </c>
      <c r="M4" s="5">
        <v>8.4</v>
      </c>
      <c r="N4" s="16">
        <f>O4/SUM($O$4:$O$15)</f>
        <v>2.811851262927417E-3</v>
      </c>
      <c r="O4" s="22">
        <v>3565</v>
      </c>
      <c r="Q4" s="5">
        <v>10</v>
      </c>
      <c r="R4" s="15">
        <f>S4/SUM($S$4:$S$16)</f>
        <v>2.2795128355425753E-3</v>
      </c>
      <c r="S4" s="22">
        <v>2660</v>
      </c>
      <c r="U4" s="7">
        <v>8.1</v>
      </c>
      <c r="V4" s="13">
        <f>W4/SUM($W$4:$W$17)</f>
        <v>1.0060434987153042E-3</v>
      </c>
      <c r="W4" s="22">
        <v>1112</v>
      </c>
      <c r="Y4" s="5">
        <v>7.1</v>
      </c>
      <c r="Z4" s="15">
        <f>AA4/SUM($AA$4:$AA$18)</f>
        <v>6.7716177123850179E-4</v>
      </c>
      <c r="AA4" s="22">
        <v>500</v>
      </c>
      <c r="AC4" s="7">
        <v>15</v>
      </c>
      <c r="AD4" s="13">
        <f>AE4/SUM($AE$4:$AE$19)</f>
        <v>4.6703830461359121E-4</v>
      </c>
      <c r="AE4" s="22">
        <v>500</v>
      </c>
      <c r="AG4" s="5">
        <v>16</v>
      </c>
      <c r="AH4" s="15">
        <f>AI4/SUM($AI$4:$AI$20)</f>
        <v>5.4025143301692608E-4</v>
      </c>
      <c r="AI4" s="22">
        <v>400</v>
      </c>
    </row>
    <row r="5" spans="1:35" x14ac:dyDescent="0.3">
      <c r="A5" s="8">
        <v>2.1</v>
      </c>
      <c r="B5" s="13">
        <f t="shared" ref="B5:B12" si="0">C5/SUM($C$4:$C$12)</f>
        <v>3.7110940046277539E-2</v>
      </c>
      <c r="C5" s="20">
        <v>32975</v>
      </c>
      <c r="E5" s="8">
        <v>2</v>
      </c>
      <c r="F5" s="29">
        <f t="shared" ref="F5:F13" si="1">G5/SUM($G$4:$G$13)</f>
        <v>1.3699741055279888E-2</v>
      </c>
      <c r="G5" s="31">
        <v>14528</v>
      </c>
      <c r="I5" s="5">
        <v>3</v>
      </c>
      <c r="J5" s="33">
        <f t="shared" ref="J5:J14" si="2">K5/SUM($K$4:$K$14)</f>
        <v>7.6106346350089194E-3</v>
      </c>
      <c r="K5" s="20">
        <v>7816</v>
      </c>
      <c r="M5" s="5">
        <v>3</v>
      </c>
      <c r="N5" s="16">
        <f t="shared" ref="N5:N15" si="3">O5/SUM($O$4:$O$15)</f>
        <v>4.3183409998674921E-3</v>
      </c>
      <c r="O5" s="23">
        <v>5475</v>
      </c>
      <c r="Q5" s="5">
        <v>3</v>
      </c>
      <c r="R5" s="16">
        <f t="shared" ref="R5:R16" si="4">S5/SUM($S$4:$S$16)</f>
        <v>4.6918544265396999E-3</v>
      </c>
      <c r="S5" s="23">
        <v>5475</v>
      </c>
      <c r="U5" s="8">
        <v>4</v>
      </c>
      <c r="V5" s="13">
        <f t="shared" ref="V5:V17" si="5">W5/SUM($W$4:$W$17)</f>
        <v>4.9551261173234901E-3</v>
      </c>
      <c r="W5" s="23">
        <v>5477</v>
      </c>
      <c r="Y5" s="5">
        <v>4</v>
      </c>
      <c r="Z5" s="16">
        <f t="shared" ref="Z5:Z18" si="6">AA5/SUM($AA$4:$AA$18)</f>
        <v>1.4328743079406697E-3</v>
      </c>
      <c r="AA5" s="23">
        <v>1058</v>
      </c>
      <c r="AC5" s="8">
        <v>8</v>
      </c>
      <c r="AD5" s="13">
        <f t="shared" ref="AD5:AD19" si="7">AE5/SUM($AE$4:$AE$19)</f>
        <v>1.3618836962532319E-3</v>
      </c>
      <c r="AE5" s="23">
        <v>1458</v>
      </c>
      <c r="AG5" s="5">
        <v>9</v>
      </c>
      <c r="AH5" s="16">
        <f t="shared" ref="AH5:AH20" si="8">AI5/SUM($AI$4:$AI$20)</f>
        <v>8.0227337803013524E-4</v>
      </c>
      <c r="AI5" s="23">
        <v>594</v>
      </c>
    </row>
    <row r="6" spans="1:35" x14ac:dyDescent="0.3">
      <c r="A6" s="8">
        <v>1.1000000000000001</v>
      </c>
      <c r="B6" s="13">
        <f t="shared" si="0"/>
        <v>0.11365119880434685</v>
      </c>
      <c r="C6" s="20">
        <v>100985</v>
      </c>
      <c r="E6" s="8">
        <v>1.6</v>
      </c>
      <c r="F6" s="29">
        <f t="shared" si="1"/>
        <v>4.8104686842854689E-2</v>
      </c>
      <c r="G6" s="31">
        <v>51013</v>
      </c>
      <c r="I6" s="5">
        <v>1.4</v>
      </c>
      <c r="J6" s="33">
        <f t="shared" si="2"/>
        <v>4.191399281780437E-2</v>
      </c>
      <c r="K6" s="20">
        <v>43045</v>
      </c>
      <c r="M6" s="5">
        <v>1.9</v>
      </c>
      <c r="N6" s="16">
        <f t="shared" si="3"/>
        <v>2.6974842410131181E-2</v>
      </c>
      <c r="O6" s="23">
        <v>34200</v>
      </c>
      <c r="Q6" s="5">
        <v>1.6</v>
      </c>
      <c r="R6" s="16">
        <f t="shared" si="4"/>
        <v>2.0738425045161778E-2</v>
      </c>
      <c r="S6" s="23">
        <v>24200</v>
      </c>
      <c r="U6" s="8">
        <v>3</v>
      </c>
      <c r="V6" s="13">
        <f t="shared" si="5"/>
        <v>7.3471935729019647E-3</v>
      </c>
      <c r="W6" s="23">
        <v>8121</v>
      </c>
      <c r="Y6" s="5">
        <v>1.9</v>
      </c>
      <c r="Z6" s="16">
        <f t="shared" si="6"/>
        <v>3.4589423274862673E-3</v>
      </c>
      <c r="AA6" s="23">
        <v>2554</v>
      </c>
      <c r="AC6" s="8">
        <v>3</v>
      </c>
      <c r="AD6" s="13">
        <f t="shared" si="7"/>
        <v>2.8526699645798148E-3</v>
      </c>
      <c r="AE6" s="23">
        <v>3054</v>
      </c>
      <c r="AG6" s="5">
        <v>2</v>
      </c>
      <c r="AH6" s="16">
        <f t="shared" si="8"/>
        <v>2.343340590710917E-3</v>
      </c>
      <c r="AI6" s="23">
        <v>1735</v>
      </c>
    </row>
    <row r="7" spans="1:35" x14ac:dyDescent="0.3">
      <c r="A7" s="8">
        <v>1</v>
      </c>
      <c r="B7" s="13">
        <f t="shared" si="0"/>
        <v>0.1887903015242777</v>
      </c>
      <c r="C7" s="20">
        <v>167750</v>
      </c>
      <c r="E7" s="8">
        <v>1</v>
      </c>
      <c r="F7" s="29">
        <f t="shared" si="1"/>
        <v>0.19766270799975105</v>
      </c>
      <c r="G7" s="31">
        <v>209613</v>
      </c>
      <c r="I7" s="5">
        <v>1.1000000000000001</v>
      </c>
      <c r="J7" s="33">
        <f t="shared" si="2"/>
        <v>8.7720938203516313E-2</v>
      </c>
      <c r="K7" s="20">
        <v>90088</v>
      </c>
      <c r="M7" s="5">
        <v>1.3</v>
      </c>
      <c r="N7" s="16">
        <f t="shared" si="3"/>
        <v>3.2027498564496694E-2</v>
      </c>
      <c r="O7" s="23">
        <v>40606</v>
      </c>
      <c r="Q7" s="5">
        <v>1.4</v>
      </c>
      <c r="R7" s="16">
        <f t="shared" si="4"/>
        <v>4.3367303216341191E-2</v>
      </c>
      <c r="S7" s="23">
        <v>50606</v>
      </c>
      <c r="U7" s="8">
        <v>1.9</v>
      </c>
      <c r="V7" s="13">
        <f t="shared" si="5"/>
        <v>3.0499764774002101E-2</v>
      </c>
      <c r="W7" s="23">
        <v>33712</v>
      </c>
      <c r="Y7" s="5">
        <v>1.4</v>
      </c>
      <c r="Z7" s="16">
        <f t="shared" si="6"/>
        <v>1.4606379405614484E-2</v>
      </c>
      <c r="AA7" s="23">
        <v>10785</v>
      </c>
      <c r="AC7" s="8">
        <v>2</v>
      </c>
      <c r="AD7" s="13">
        <f t="shared" si="7"/>
        <v>1.0074016230515162E-2</v>
      </c>
      <c r="AE7" s="23">
        <v>10785</v>
      </c>
      <c r="AG7" s="5">
        <v>1.4</v>
      </c>
      <c r="AH7" s="16">
        <f t="shared" si="8"/>
        <v>1.1709949810641872E-2</v>
      </c>
      <c r="AI7" s="23">
        <v>8670</v>
      </c>
    </row>
    <row r="8" spans="1:35" x14ac:dyDescent="0.3">
      <c r="A8" s="8">
        <v>0.5</v>
      </c>
      <c r="B8" s="13">
        <f t="shared" si="0"/>
        <v>0.31185569330776364</v>
      </c>
      <c r="C8" s="20">
        <v>277100</v>
      </c>
      <c r="E8" s="8">
        <v>0.7</v>
      </c>
      <c r="F8" s="29">
        <f t="shared" si="1"/>
        <v>0.23551144882682765</v>
      </c>
      <c r="G8" s="31">
        <v>249750</v>
      </c>
      <c r="I8" s="5">
        <v>1</v>
      </c>
      <c r="J8" s="33">
        <f t="shared" si="2"/>
        <v>0.2289013266029461</v>
      </c>
      <c r="K8" s="20">
        <v>235078</v>
      </c>
      <c r="M8" s="5">
        <v>1</v>
      </c>
      <c r="N8" s="16">
        <f t="shared" si="3"/>
        <v>0.20601838706217149</v>
      </c>
      <c r="O8" s="23">
        <v>261200</v>
      </c>
      <c r="Q8" s="5">
        <v>1.1000000000000001</v>
      </c>
      <c r="R8" s="16">
        <f t="shared" si="4"/>
        <v>0.10043567831789092</v>
      </c>
      <c r="S8" s="23">
        <v>117200</v>
      </c>
      <c r="U8" s="8">
        <v>1.2</v>
      </c>
      <c r="V8" s="13">
        <f t="shared" si="5"/>
        <v>7.8963558064632872E-2</v>
      </c>
      <c r="W8" s="23">
        <v>87280</v>
      </c>
      <c r="Y8" s="5">
        <v>1.3</v>
      </c>
      <c r="Z8" s="16">
        <f t="shared" si="6"/>
        <v>5.6415701485422062E-2</v>
      </c>
      <c r="AA8" s="23">
        <v>41656</v>
      </c>
      <c r="AC8" s="8">
        <v>1.5</v>
      </c>
      <c r="AD8" s="13">
        <f t="shared" si="7"/>
        <v>2.9569129141695686E-2</v>
      </c>
      <c r="AE8" s="23">
        <v>31656</v>
      </c>
      <c r="AG8" s="5">
        <v>1.4</v>
      </c>
      <c r="AH8" s="16">
        <f t="shared" si="8"/>
        <v>3.0755163453071058E-2</v>
      </c>
      <c r="AI8" s="23">
        <v>22771</v>
      </c>
    </row>
    <row r="9" spans="1:35" x14ac:dyDescent="0.3">
      <c r="A9" s="8">
        <v>1</v>
      </c>
      <c r="B9" s="13">
        <f t="shared" si="0"/>
        <v>0.1887903015242777</v>
      </c>
      <c r="C9" s="20">
        <v>167750</v>
      </c>
      <c r="E9" s="8">
        <v>0.7</v>
      </c>
      <c r="F9" s="29">
        <f t="shared" si="1"/>
        <v>0.23551144882682765</v>
      </c>
      <c r="G9" s="31">
        <v>249750</v>
      </c>
      <c r="I9" s="5">
        <v>0.5</v>
      </c>
      <c r="J9" s="33">
        <f t="shared" si="2"/>
        <v>0.26266231995824668</v>
      </c>
      <c r="K9" s="20">
        <v>269750</v>
      </c>
      <c r="M9" s="5">
        <v>0.7</v>
      </c>
      <c r="N9" s="16">
        <f t="shared" si="3"/>
        <v>0.22784907970040572</v>
      </c>
      <c r="O9" s="23">
        <v>288878</v>
      </c>
      <c r="Q9" s="5">
        <v>1</v>
      </c>
      <c r="R9" s="16">
        <f t="shared" si="4"/>
        <v>0.17900003085054966</v>
      </c>
      <c r="S9" s="23">
        <v>208878</v>
      </c>
      <c r="U9" s="8">
        <v>0.9</v>
      </c>
      <c r="V9" s="13">
        <f t="shared" si="5"/>
        <v>0.14101255744942642</v>
      </c>
      <c r="W9" s="23">
        <v>155864</v>
      </c>
      <c r="Y9" s="5">
        <v>1.1000000000000001</v>
      </c>
      <c r="Z9" s="16">
        <f t="shared" si="6"/>
        <v>0.1186983325568545</v>
      </c>
      <c r="AA9" s="23">
        <v>87644</v>
      </c>
      <c r="AC9" s="8">
        <v>1.1000000000000001</v>
      </c>
      <c r="AD9" s="13">
        <f t="shared" si="7"/>
        <v>7.9998057120652805E-2</v>
      </c>
      <c r="AE9" s="23">
        <v>85644</v>
      </c>
      <c r="AG9" s="5">
        <v>1.2</v>
      </c>
      <c r="AH9" s="16">
        <f t="shared" si="8"/>
        <v>7.3136537744666372E-2</v>
      </c>
      <c r="AI9" s="23">
        <v>54150</v>
      </c>
    </row>
    <row r="10" spans="1:35" x14ac:dyDescent="0.3">
      <c r="A10" s="8">
        <v>1.1000000000000001</v>
      </c>
      <c r="B10" s="13">
        <f t="shared" si="0"/>
        <v>0.11365119880434685</v>
      </c>
      <c r="C10" s="20">
        <v>100985</v>
      </c>
      <c r="E10" s="8">
        <v>1</v>
      </c>
      <c r="F10" s="29">
        <f t="shared" si="1"/>
        <v>0.19766270799975105</v>
      </c>
      <c r="G10" s="31">
        <v>209613</v>
      </c>
      <c r="I10" s="5">
        <v>1</v>
      </c>
      <c r="J10" s="33">
        <f t="shared" si="2"/>
        <v>0.2289013266029461</v>
      </c>
      <c r="K10" s="20">
        <v>235078</v>
      </c>
      <c r="M10" s="5">
        <v>0.7</v>
      </c>
      <c r="N10" s="16">
        <f t="shared" si="3"/>
        <v>0.22784907970040572</v>
      </c>
      <c r="O10" s="23">
        <v>288878</v>
      </c>
      <c r="Q10" s="5">
        <v>0.5</v>
      </c>
      <c r="R10" s="16">
        <f t="shared" si="4"/>
        <v>0.29897439061594838</v>
      </c>
      <c r="S10" s="23">
        <v>348878</v>
      </c>
      <c r="U10" s="8">
        <v>0.7</v>
      </c>
      <c r="V10" s="13">
        <f t="shared" si="5"/>
        <v>0.23621575652299787</v>
      </c>
      <c r="W10" s="23">
        <v>261094</v>
      </c>
      <c r="Y10" s="5">
        <v>1</v>
      </c>
      <c r="Z10" s="16">
        <f t="shared" si="6"/>
        <v>0.20239146451130588</v>
      </c>
      <c r="AA10" s="23">
        <v>149441</v>
      </c>
      <c r="AC10" s="8">
        <v>1</v>
      </c>
      <c r="AD10" s="13">
        <f t="shared" si="7"/>
        <v>0.17695240692860667</v>
      </c>
      <c r="AE10" s="23">
        <v>189441</v>
      </c>
      <c r="AG10" s="5">
        <v>1.1000000000000001</v>
      </c>
      <c r="AH10" s="16">
        <f t="shared" si="8"/>
        <v>0.11506275020394492</v>
      </c>
      <c r="AI10" s="23">
        <v>85192</v>
      </c>
    </row>
    <row r="11" spans="1:35" x14ac:dyDescent="0.3">
      <c r="A11" s="8">
        <v>2.1</v>
      </c>
      <c r="B11" s="13">
        <f t="shared" si="0"/>
        <v>3.7110940046277539E-2</v>
      </c>
      <c r="C11" s="20">
        <v>32975</v>
      </c>
      <c r="E11" s="8">
        <v>1.6</v>
      </c>
      <c r="F11" s="29">
        <f t="shared" si="1"/>
        <v>4.8104686842854689E-2</v>
      </c>
      <c r="G11" s="31">
        <v>51013</v>
      </c>
      <c r="I11" s="5">
        <v>1.1000000000000001</v>
      </c>
      <c r="J11" s="33">
        <f t="shared" si="2"/>
        <v>8.7720938203516313E-2</v>
      </c>
      <c r="K11" s="20">
        <v>90088</v>
      </c>
      <c r="M11" s="5">
        <v>1</v>
      </c>
      <c r="N11" s="16">
        <f t="shared" si="3"/>
        <v>0.20601838706217149</v>
      </c>
      <c r="O11" s="23">
        <v>261200</v>
      </c>
      <c r="Q11" s="5">
        <v>1</v>
      </c>
      <c r="R11" s="16">
        <f t="shared" si="4"/>
        <v>0.17900003085054966</v>
      </c>
      <c r="S11" s="23">
        <v>208878</v>
      </c>
      <c r="U11" s="8">
        <v>0.7</v>
      </c>
      <c r="V11" s="13">
        <f t="shared" si="5"/>
        <v>0.23621575652299787</v>
      </c>
      <c r="W11" s="23">
        <v>261094</v>
      </c>
      <c r="Y11" s="5">
        <v>0.5</v>
      </c>
      <c r="Z11" s="16">
        <f t="shared" si="6"/>
        <v>0.20463828726827524</v>
      </c>
      <c r="AA11" s="23">
        <v>151100</v>
      </c>
      <c r="AC11" s="8">
        <v>0.7</v>
      </c>
      <c r="AD11" s="13">
        <f t="shared" si="7"/>
        <v>0.19872479861308304</v>
      </c>
      <c r="AE11" s="23">
        <v>212750</v>
      </c>
      <c r="AG11" s="5">
        <v>1</v>
      </c>
      <c r="AH11" s="16">
        <f t="shared" si="8"/>
        <v>0.13568549803078353</v>
      </c>
      <c r="AI11" s="23">
        <v>100461</v>
      </c>
    </row>
    <row r="12" spans="1:35" ht="15" thickBot="1" x14ac:dyDescent="0.35">
      <c r="A12" s="9">
        <v>5.6</v>
      </c>
      <c r="B12" s="14">
        <f t="shared" si="0"/>
        <v>4.5197129712160906E-3</v>
      </c>
      <c r="C12" s="21">
        <v>4016</v>
      </c>
      <c r="E12" s="8">
        <v>2</v>
      </c>
      <c r="F12" s="29">
        <f t="shared" si="1"/>
        <v>1.3699741055279888E-2</v>
      </c>
      <c r="G12" s="31">
        <v>14528</v>
      </c>
      <c r="I12" s="5">
        <v>1.4</v>
      </c>
      <c r="J12" s="33">
        <f t="shared" si="2"/>
        <v>4.191399281780437E-2</v>
      </c>
      <c r="K12" s="20">
        <v>43045</v>
      </c>
      <c r="M12" s="5">
        <v>1.3</v>
      </c>
      <c r="N12" s="16">
        <f t="shared" si="3"/>
        <v>3.2027498564496694E-2</v>
      </c>
      <c r="O12" s="23">
        <v>40606</v>
      </c>
      <c r="Q12" s="5">
        <v>1.1000000000000001</v>
      </c>
      <c r="R12" s="16">
        <f t="shared" si="4"/>
        <v>0.10043567831789092</v>
      </c>
      <c r="S12" s="23">
        <v>117200</v>
      </c>
      <c r="U12" s="8">
        <v>0.9</v>
      </c>
      <c r="V12" s="13">
        <f t="shared" si="5"/>
        <v>0.14101255744942642</v>
      </c>
      <c r="W12" s="23">
        <v>155864</v>
      </c>
      <c r="Y12" s="5">
        <v>1</v>
      </c>
      <c r="Z12" s="16">
        <f t="shared" si="6"/>
        <v>0.20239146451130588</v>
      </c>
      <c r="AA12" s="23">
        <v>149441</v>
      </c>
      <c r="AC12" s="8">
        <v>0.7</v>
      </c>
      <c r="AD12" s="13">
        <f t="shared" si="7"/>
        <v>0.19872479861308304</v>
      </c>
      <c r="AE12" s="23">
        <v>212750</v>
      </c>
      <c r="AG12" s="5">
        <v>0.5</v>
      </c>
      <c r="AH12" s="16">
        <f t="shared" si="8"/>
        <v>0.25992847071026853</v>
      </c>
      <c r="AI12" s="23">
        <v>192450</v>
      </c>
    </row>
    <row r="13" spans="1:35" ht="15" thickBot="1" x14ac:dyDescent="0.35">
      <c r="E13" s="9">
        <v>5.6</v>
      </c>
      <c r="F13" s="30">
        <f t="shared" si="1"/>
        <v>5.0214152752867157E-3</v>
      </c>
      <c r="G13" s="32">
        <v>5325</v>
      </c>
      <c r="I13" s="5">
        <v>3</v>
      </c>
      <c r="J13" s="33">
        <f t="shared" si="2"/>
        <v>7.6106346350089194E-3</v>
      </c>
      <c r="K13" s="20">
        <v>7816</v>
      </c>
      <c r="M13" s="5">
        <v>1.9</v>
      </c>
      <c r="N13" s="16">
        <f t="shared" si="3"/>
        <v>2.6974842410131181E-2</v>
      </c>
      <c r="O13" s="23">
        <v>34200</v>
      </c>
      <c r="Q13" s="5">
        <v>1.4</v>
      </c>
      <c r="R13" s="16">
        <f t="shared" si="4"/>
        <v>4.3367303216341191E-2</v>
      </c>
      <c r="S13" s="23">
        <v>50606</v>
      </c>
      <c r="U13" s="8">
        <v>1.2</v>
      </c>
      <c r="V13" s="13">
        <f t="shared" si="5"/>
        <v>7.8963558064632872E-2</v>
      </c>
      <c r="W13" s="23">
        <v>87280</v>
      </c>
      <c r="Y13" s="5">
        <v>1.1000000000000001</v>
      </c>
      <c r="Z13" s="16">
        <f t="shared" si="6"/>
        <v>0.1186983325568545</v>
      </c>
      <c r="AA13" s="23">
        <v>87644</v>
      </c>
      <c r="AC13" s="8">
        <v>1</v>
      </c>
      <c r="AD13" s="13">
        <f t="shared" si="7"/>
        <v>0.17695240692860667</v>
      </c>
      <c r="AE13" s="23">
        <v>189441</v>
      </c>
      <c r="AG13" s="5">
        <v>1</v>
      </c>
      <c r="AH13" s="16">
        <f t="shared" si="8"/>
        <v>0.13568549803078353</v>
      </c>
      <c r="AI13" s="23">
        <v>100461</v>
      </c>
    </row>
    <row r="14" spans="1:35" ht="15" thickBot="1" x14ac:dyDescent="0.35">
      <c r="A14" t="s">
        <v>4</v>
      </c>
      <c r="B14" s="1">
        <f>SUMPRODUCT(A4:A12,C4:C12)/SUM(C4:C12)</f>
        <v>0.9900278205439863</v>
      </c>
      <c r="C14" s="1"/>
      <c r="I14" s="6">
        <v>8.9</v>
      </c>
      <c r="J14" s="34">
        <f t="shared" si="2"/>
        <v>2.5219477616009599E-3</v>
      </c>
      <c r="K14" s="21">
        <v>2590</v>
      </c>
      <c r="M14" s="5">
        <v>3</v>
      </c>
      <c r="N14" s="16">
        <f t="shared" si="3"/>
        <v>4.3183409998674921E-3</v>
      </c>
      <c r="O14" s="23">
        <v>5475</v>
      </c>
      <c r="Q14" s="5">
        <v>1.6</v>
      </c>
      <c r="R14" s="16">
        <f t="shared" si="4"/>
        <v>2.0738425045161778E-2</v>
      </c>
      <c r="S14" s="23">
        <v>24200</v>
      </c>
      <c r="U14" s="8">
        <v>1.9</v>
      </c>
      <c r="V14" s="13">
        <f t="shared" si="5"/>
        <v>3.0499764774002101E-2</v>
      </c>
      <c r="W14" s="23">
        <v>33712</v>
      </c>
      <c r="Y14" s="5">
        <v>1.3</v>
      </c>
      <c r="Z14" s="16">
        <f t="shared" si="6"/>
        <v>5.6415701485422062E-2</v>
      </c>
      <c r="AA14" s="23">
        <v>41656</v>
      </c>
      <c r="AC14" s="8">
        <v>1.1000000000000001</v>
      </c>
      <c r="AD14" s="13">
        <f t="shared" si="7"/>
        <v>7.9998057120652805E-2</v>
      </c>
      <c r="AE14" s="23">
        <v>85644</v>
      </c>
      <c r="AG14" s="5">
        <v>1.1000000000000001</v>
      </c>
      <c r="AH14" s="16">
        <f t="shared" si="8"/>
        <v>0.11506275020394492</v>
      </c>
      <c r="AI14" s="23">
        <v>85192</v>
      </c>
    </row>
    <row r="15" spans="1:35" ht="15" thickBot="1" x14ac:dyDescent="0.35">
      <c r="E15" t="s">
        <v>4</v>
      </c>
      <c r="F15" s="1">
        <f>SUMPRODUCT(E4:E13,G4:G13)/SUM(G4:G13)</f>
        <v>0.99001525755852671</v>
      </c>
      <c r="M15" s="6">
        <v>8.4</v>
      </c>
      <c r="N15" s="17">
        <f t="shared" si="3"/>
        <v>2.811851262927417E-3</v>
      </c>
      <c r="O15" s="24">
        <v>3565</v>
      </c>
      <c r="Q15" s="5">
        <v>3</v>
      </c>
      <c r="R15" s="16">
        <f t="shared" si="4"/>
        <v>4.6918544265396999E-3</v>
      </c>
      <c r="S15" s="23">
        <v>5475</v>
      </c>
      <c r="U15" s="8">
        <v>3</v>
      </c>
      <c r="V15" s="13">
        <f t="shared" si="5"/>
        <v>7.3471935729019647E-3</v>
      </c>
      <c r="W15" s="23">
        <v>8121</v>
      </c>
      <c r="Y15" s="5">
        <v>1.4</v>
      </c>
      <c r="Z15" s="16">
        <f t="shared" si="6"/>
        <v>1.4606379405614484E-2</v>
      </c>
      <c r="AA15" s="23">
        <v>10785</v>
      </c>
      <c r="AC15" s="8">
        <v>1.5</v>
      </c>
      <c r="AD15" s="13">
        <f t="shared" si="7"/>
        <v>2.9569129141695686E-2</v>
      </c>
      <c r="AE15" s="23">
        <v>31656</v>
      </c>
      <c r="AG15" s="5">
        <v>1.2</v>
      </c>
      <c r="AH15" s="16">
        <f t="shared" si="8"/>
        <v>7.3136537744666372E-2</v>
      </c>
      <c r="AI15" s="23">
        <v>54150</v>
      </c>
    </row>
    <row r="16" spans="1:35" ht="15" thickBot="1" x14ac:dyDescent="0.35">
      <c r="B16" s="25"/>
      <c r="I16" t="s">
        <v>4</v>
      </c>
      <c r="J16" s="1">
        <f>SUMPRODUCT(I4:I14,J4:J14)</f>
        <v>0.99003353508915437</v>
      </c>
      <c r="K16" s="1"/>
      <c r="Q16" s="6">
        <v>10</v>
      </c>
      <c r="R16" s="17">
        <f t="shared" si="4"/>
        <v>2.2795128355425753E-3</v>
      </c>
      <c r="S16" s="24">
        <v>2660</v>
      </c>
      <c r="U16" s="8">
        <v>4</v>
      </c>
      <c r="V16" s="13">
        <f t="shared" si="5"/>
        <v>4.9551261173234901E-3</v>
      </c>
      <c r="W16" s="23">
        <v>5477</v>
      </c>
      <c r="Y16" s="5">
        <v>1.9</v>
      </c>
      <c r="Z16" s="16">
        <f t="shared" si="6"/>
        <v>3.4589423274862673E-3</v>
      </c>
      <c r="AA16" s="23">
        <v>2554</v>
      </c>
      <c r="AC16" s="8">
        <v>2</v>
      </c>
      <c r="AD16" s="13">
        <f t="shared" si="7"/>
        <v>1.0074016230515162E-2</v>
      </c>
      <c r="AE16" s="23">
        <v>10785</v>
      </c>
      <c r="AG16" s="5">
        <v>1.4</v>
      </c>
      <c r="AH16" s="16">
        <f t="shared" si="8"/>
        <v>3.0755163453071058E-2</v>
      </c>
      <c r="AI16" s="23">
        <v>22771</v>
      </c>
    </row>
    <row r="17" spans="2:35" ht="15" thickBot="1" x14ac:dyDescent="0.35">
      <c r="F17" s="28"/>
      <c r="M17" t="s">
        <v>4</v>
      </c>
      <c r="N17" s="1">
        <f>SUMPRODUCT(M4:M15,O4:O15)/SUM(O4:O15)</f>
        <v>0.98995053034748648</v>
      </c>
      <c r="O17" s="1"/>
      <c r="U17" s="9">
        <v>8.1</v>
      </c>
      <c r="V17" s="14">
        <f t="shared" si="5"/>
        <v>1.0060434987153042E-3</v>
      </c>
      <c r="W17" s="24">
        <v>1112</v>
      </c>
      <c r="Y17" s="5">
        <v>4</v>
      </c>
      <c r="Z17" s="16">
        <f t="shared" si="6"/>
        <v>1.4328743079406697E-3</v>
      </c>
      <c r="AA17" s="23">
        <v>1058</v>
      </c>
      <c r="AC17" s="8">
        <v>3</v>
      </c>
      <c r="AD17" s="13">
        <f t="shared" si="7"/>
        <v>2.8526699645798148E-3</v>
      </c>
      <c r="AE17" s="23">
        <v>3054</v>
      </c>
      <c r="AG17" s="5">
        <v>1.4</v>
      </c>
      <c r="AH17" s="16">
        <f t="shared" si="8"/>
        <v>1.1709949810641872E-2</v>
      </c>
      <c r="AI17" s="23">
        <v>8670</v>
      </c>
    </row>
    <row r="18" spans="2:35" ht="15" thickBot="1" x14ac:dyDescent="0.35">
      <c r="J18" s="28"/>
      <c r="Q18" t="s">
        <v>4</v>
      </c>
      <c r="R18" s="1">
        <f>SUMPRODUCT(Q4:Q16,S4:S16)/SUM(S4:S16)</f>
        <v>0.98997854172879629</v>
      </c>
      <c r="S18" s="1"/>
      <c r="Y18" s="6">
        <v>7.1</v>
      </c>
      <c r="Z18" s="17">
        <f t="shared" si="6"/>
        <v>6.7716177123850179E-4</v>
      </c>
      <c r="AA18" s="24">
        <v>500</v>
      </c>
      <c r="AC18" s="8">
        <v>8</v>
      </c>
      <c r="AD18" s="13">
        <f t="shared" si="7"/>
        <v>1.3618836962532319E-3</v>
      </c>
      <c r="AE18" s="23">
        <v>1458</v>
      </c>
      <c r="AG18" s="5">
        <v>2</v>
      </c>
      <c r="AH18" s="16">
        <f t="shared" si="8"/>
        <v>2.343340590710917E-3</v>
      </c>
      <c r="AI18" s="23">
        <v>1735</v>
      </c>
    </row>
    <row r="19" spans="2:35" ht="15" thickBot="1" x14ac:dyDescent="0.35">
      <c r="F19" s="27"/>
      <c r="N19" s="28"/>
      <c r="U19" t="s">
        <v>4</v>
      </c>
      <c r="V19" s="1">
        <f>SUMPRODUCT(U4:U17,V4:V17)</f>
        <v>0.98995838309267914</v>
      </c>
      <c r="W19" s="1"/>
      <c r="AC19" s="9">
        <v>15</v>
      </c>
      <c r="AD19" s="14">
        <f t="shared" si="7"/>
        <v>4.6703830461359121E-4</v>
      </c>
      <c r="AE19" s="24">
        <v>500</v>
      </c>
      <c r="AG19" s="5">
        <v>9</v>
      </c>
      <c r="AH19" s="16">
        <f t="shared" si="8"/>
        <v>8.0227337803013524E-4</v>
      </c>
      <c r="AI19" s="23">
        <v>594</v>
      </c>
    </row>
    <row r="20" spans="2:35" ht="15" thickBot="1" x14ac:dyDescent="0.35">
      <c r="B20" s="26"/>
      <c r="Y20" t="s">
        <v>4</v>
      </c>
      <c r="Z20" s="1">
        <f>SUMPRODUCT(Y4:Y18,Z4:Z18)</f>
        <v>0.99003976293920715</v>
      </c>
      <c r="AA20" s="1"/>
      <c r="AG20" s="6">
        <v>16</v>
      </c>
      <c r="AH20" s="17">
        <f t="shared" si="8"/>
        <v>5.4025143301692608E-4</v>
      </c>
      <c r="AI20" s="24">
        <v>400</v>
      </c>
    </row>
    <row r="21" spans="2:35" x14ac:dyDescent="0.3">
      <c r="V21" s="28"/>
      <c r="AC21" t="s">
        <v>4</v>
      </c>
      <c r="AD21" s="1">
        <f>SUMPRODUCT(AC4:AC19,AD4:AD19)</f>
        <v>0.99003601799405194</v>
      </c>
      <c r="AE21" s="1"/>
    </row>
    <row r="22" spans="2:35" x14ac:dyDescent="0.3">
      <c r="AA22" s="28"/>
      <c r="AG22" t="s">
        <v>4</v>
      </c>
      <c r="AH22" s="1">
        <f>SUMPRODUCT(AG4:AG20,AH4:AH20)</f>
        <v>0.99000561861490333</v>
      </c>
    </row>
    <row r="23" spans="2:35" x14ac:dyDescent="0.3">
      <c r="AD23" s="28"/>
      <c r="AI23" s="28"/>
    </row>
    <row r="24" spans="2:35" x14ac:dyDescent="0.3">
      <c r="AH24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CEDF-77E2-4767-A6AF-1385607C078A}">
  <dimension ref="A2:AI24"/>
  <sheetViews>
    <sheetView workbookViewId="0"/>
  </sheetViews>
  <sheetFormatPr defaultRowHeight="14.4" x14ac:dyDescent="0.3"/>
  <cols>
    <col min="2" max="2" width="9.6640625" bestFit="1" customWidth="1"/>
    <col min="3" max="3" width="12.21875" customWidth="1"/>
    <col min="6" max="6" width="14.109375" bestFit="1" customWidth="1"/>
    <col min="10" max="10" width="9.6640625" bestFit="1" customWidth="1"/>
    <col min="11" max="11" width="9.6640625" customWidth="1"/>
    <col min="14" max="15" width="10.33203125" customWidth="1"/>
    <col min="18" max="18" width="9.6640625" bestFit="1" customWidth="1"/>
    <col min="19" max="19" width="9.6640625" customWidth="1"/>
    <col min="22" max="23" width="9.44140625" customWidth="1"/>
    <col min="26" max="27" width="10.109375" customWidth="1"/>
    <col min="30" max="31" width="9.5546875" customWidth="1"/>
    <col min="34" max="34" width="10.109375" customWidth="1"/>
    <col min="35" max="35" width="10" bestFit="1" customWidth="1"/>
  </cols>
  <sheetData>
    <row r="2" spans="1:35" ht="15" thickBot="1" x14ac:dyDescent="0.35">
      <c r="A2" s="2" t="s">
        <v>0</v>
      </c>
      <c r="E2" s="2" t="s">
        <v>5</v>
      </c>
      <c r="I2" s="2" t="s">
        <v>6</v>
      </c>
      <c r="M2" s="2" t="s">
        <v>7</v>
      </c>
      <c r="Q2" s="2" t="s">
        <v>8</v>
      </c>
      <c r="U2" s="2" t="s">
        <v>9</v>
      </c>
      <c r="Y2" s="2" t="s">
        <v>10</v>
      </c>
      <c r="AC2" s="2" t="s">
        <v>11</v>
      </c>
      <c r="AG2" s="2" t="s">
        <v>12</v>
      </c>
    </row>
    <row r="3" spans="1:35" ht="15" thickBot="1" x14ac:dyDescent="0.35">
      <c r="A3" s="10" t="s">
        <v>1</v>
      </c>
      <c r="B3" s="11" t="s">
        <v>2</v>
      </c>
      <c r="C3" s="10" t="s">
        <v>3</v>
      </c>
      <c r="E3" s="3" t="s">
        <v>1</v>
      </c>
      <c r="F3" s="10" t="s">
        <v>2</v>
      </c>
      <c r="G3" s="10" t="s">
        <v>3</v>
      </c>
      <c r="I3" s="12" t="s">
        <v>1</v>
      </c>
      <c r="J3" s="10" t="s">
        <v>2</v>
      </c>
      <c r="K3" s="7" t="s">
        <v>3</v>
      </c>
      <c r="M3" s="10" t="s">
        <v>1</v>
      </c>
      <c r="N3" s="10" t="s">
        <v>2</v>
      </c>
      <c r="O3" s="7" t="s">
        <v>3</v>
      </c>
      <c r="Q3" s="12" t="s">
        <v>1</v>
      </c>
      <c r="R3" s="11" t="s">
        <v>2</v>
      </c>
      <c r="S3" s="7" t="s">
        <v>3</v>
      </c>
      <c r="U3" s="3" t="s">
        <v>1</v>
      </c>
      <c r="V3" s="10" t="s">
        <v>2</v>
      </c>
      <c r="W3" s="7" t="s">
        <v>3</v>
      </c>
      <c r="Y3" s="10" t="s">
        <v>1</v>
      </c>
      <c r="Z3" s="4" t="s">
        <v>2</v>
      </c>
      <c r="AA3" s="7" t="s">
        <v>3</v>
      </c>
      <c r="AC3" s="10" t="s">
        <v>1</v>
      </c>
      <c r="AD3" s="10" t="s">
        <v>2</v>
      </c>
      <c r="AE3" s="4" t="s">
        <v>3</v>
      </c>
      <c r="AG3" s="10" t="s">
        <v>1</v>
      </c>
      <c r="AH3" s="4" t="s">
        <v>2</v>
      </c>
      <c r="AI3" s="4" t="s">
        <v>3</v>
      </c>
    </row>
    <row r="4" spans="1:35" x14ac:dyDescent="0.3">
      <c r="A4" s="8">
        <v>13</v>
      </c>
      <c r="B4" s="13">
        <f>C4/SUM($C$4:$C$12)</f>
        <v>4.1432106145900798E-3</v>
      </c>
      <c r="C4" s="19">
        <v>3992</v>
      </c>
      <c r="E4" s="7">
        <v>18</v>
      </c>
      <c r="F4" s="13">
        <f>G4/SUM($G$4:$G$13)</f>
        <v>3.7098593221345046E-3</v>
      </c>
      <c r="G4" s="22">
        <v>4000</v>
      </c>
      <c r="H4" s="18"/>
      <c r="I4" s="5">
        <v>22</v>
      </c>
      <c r="J4" s="16">
        <f>K4/SUM($K$4:$K$14)</f>
        <v>2.7235880294889415E-3</v>
      </c>
      <c r="K4" s="22">
        <v>2790</v>
      </c>
      <c r="M4" s="5">
        <v>24</v>
      </c>
      <c r="N4" s="16">
        <f>O4/SUM($O$4:$O$15)</f>
        <v>2.9072422544216179E-3</v>
      </c>
      <c r="O4" s="22">
        <v>3565</v>
      </c>
      <c r="Q4" s="5">
        <v>33</v>
      </c>
      <c r="R4" s="15">
        <f>S4/SUM($S$4:$S$16)</f>
        <v>1.409631177644948E-3</v>
      </c>
      <c r="S4" s="22">
        <v>1660</v>
      </c>
      <c r="U4" s="7">
        <v>43</v>
      </c>
      <c r="V4" s="13">
        <f>W4/SUM($W$4:$W$17)</f>
        <v>4.4052406816202992E-4</v>
      </c>
      <c r="W4" s="22">
        <v>510</v>
      </c>
      <c r="Y4" s="5">
        <v>58</v>
      </c>
      <c r="Z4" s="15">
        <f>AA4/SUM($AA$4:$AA$18)</f>
        <v>6.8627020379479972E-4</v>
      </c>
      <c r="AA4" s="22">
        <v>500</v>
      </c>
      <c r="AC4" s="7">
        <v>88</v>
      </c>
      <c r="AD4" s="13">
        <f>AE4/SUM($AE$4:$AE$19)</f>
        <v>4.8068411343764339E-4</v>
      </c>
      <c r="AE4" s="22">
        <v>505</v>
      </c>
      <c r="AG4" s="5">
        <v>110</v>
      </c>
      <c r="AH4" s="15">
        <f>AI4/SUM($AI$4:$AI$20)</f>
        <v>2.4537288089845734E-5</v>
      </c>
      <c r="AI4" s="22">
        <v>20</v>
      </c>
    </row>
    <row r="5" spans="1:35" x14ac:dyDescent="0.3">
      <c r="A5" s="8">
        <v>3</v>
      </c>
      <c r="B5" s="13">
        <f t="shared" ref="B5:B12" si="0">C5/SUM($C$4:$C$12)</f>
        <v>3.3186162174728903E-2</v>
      </c>
      <c r="C5" s="20">
        <v>31975</v>
      </c>
      <c r="E5" s="8">
        <v>4</v>
      </c>
      <c r="F5" s="13">
        <f t="shared" ref="F5:F13" si="1">G5/SUM($G$4:$G$13)</f>
        <v>1.3010476642725708E-2</v>
      </c>
      <c r="G5" s="8">
        <v>14028</v>
      </c>
      <c r="I5" s="5">
        <v>5</v>
      </c>
      <c r="J5" s="16">
        <f t="shared" ref="J5:J14" si="2">K5/SUM($K$4:$K$14)</f>
        <v>7.6299512682743969E-3</v>
      </c>
      <c r="K5" s="23">
        <v>7816</v>
      </c>
      <c r="M5" s="5">
        <v>6</v>
      </c>
      <c r="N5" s="16">
        <f t="shared" ref="N5:N15" si="3">O5/SUM($O$4:$O$15)</f>
        <v>4.4648390863838306E-3</v>
      </c>
      <c r="O5" s="23">
        <v>5475</v>
      </c>
      <c r="Q5" s="5">
        <v>11</v>
      </c>
      <c r="R5" s="16">
        <f t="shared" ref="R5:R16" si="4">S5/SUM($S$4:$S$16)</f>
        <v>3.8000599517838203E-3</v>
      </c>
      <c r="S5" s="23">
        <v>4475</v>
      </c>
      <c r="U5" s="8">
        <v>13</v>
      </c>
      <c r="V5" s="13">
        <f t="shared" ref="V5:V17" si="5">W5/SUM($W$4:$W$17)</f>
        <v>4.5564009010876623E-3</v>
      </c>
      <c r="W5" s="23">
        <v>5275</v>
      </c>
      <c r="Y5" s="5">
        <v>15</v>
      </c>
      <c r="Z5" s="16">
        <f>AA5/SUM($AA$4:$AA$18)</f>
        <v>1.4521477512297962E-3</v>
      </c>
      <c r="AA5" s="23">
        <v>1058</v>
      </c>
      <c r="AC5" s="8">
        <v>18</v>
      </c>
      <c r="AD5" s="13">
        <f t="shared" ref="AD5:AD19" si="6">AE5/SUM($AE$4:$AE$19)</f>
        <v>1.387796905726899E-3</v>
      </c>
      <c r="AE5" s="23">
        <v>1458</v>
      </c>
      <c r="AG5" s="5">
        <v>41</v>
      </c>
      <c r="AH5" s="16">
        <f t="shared" ref="AH5:AH20" si="7">AI5/SUM($AI$4:$AI$20)</f>
        <v>3.6069813492073231E-4</v>
      </c>
      <c r="AI5" s="23">
        <v>294</v>
      </c>
    </row>
    <row r="6" spans="1:35" x14ac:dyDescent="0.3">
      <c r="A6" s="8">
        <v>1.3</v>
      </c>
      <c r="B6" s="13">
        <f t="shared" si="0"/>
        <v>0.10481015128115712</v>
      </c>
      <c r="C6" s="20">
        <v>100985</v>
      </c>
      <c r="E6" s="8">
        <v>1.7</v>
      </c>
      <c r="F6" s="13">
        <f t="shared" si="1"/>
        <v>4.7312763400011872E-2</v>
      </c>
      <c r="G6" s="8">
        <v>51013</v>
      </c>
      <c r="I6" s="5">
        <v>2</v>
      </c>
      <c r="J6" s="16">
        <f t="shared" si="2"/>
        <v>4.2020375171810571E-2</v>
      </c>
      <c r="K6" s="23">
        <v>43045</v>
      </c>
      <c r="M6" s="5">
        <v>3</v>
      </c>
      <c r="N6" s="16">
        <f t="shared" si="3"/>
        <v>2.788995374508256E-2</v>
      </c>
      <c r="O6" s="23">
        <v>34200</v>
      </c>
      <c r="Q6" s="5">
        <v>4</v>
      </c>
      <c r="R6" s="16">
        <f t="shared" si="4"/>
        <v>1.8512023899192688E-2</v>
      </c>
      <c r="S6" s="23">
        <v>21800</v>
      </c>
      <c r="U6" s="8">
        <v>6</v>
      </c>
      <c r="V6" s="13">
        <f t="shared" si="5"/>
        <v>7.0146979559683239E-3</v>
      </c>
      <c r="W6" s="23">
        <v>8121</v>
      </c>
      <c r="Y6" s="5">
        <v>7</v>
      </c>
      <c r="Z6" s="16">
        <f t="shared" ref="Z6:Z18" si="8">AA6/SUM($AA$4:$AA$18)</f>
        <v>3.5054682009838371E-3</v>
      </c>
      <c r="AA6" s="23">
        <v>2554</v>
      </c>
      <c r="AC6" s="8">
        <v>11</v>
      </c>
      <c r="AD6" s="13">
        <f t="shared" si="6"/>
        <v>2.9069490741357681E-3</v>
      </c>
      <c r="AE6" s="23">
        <v>3054</v>
      </c>
      <c r="AG6" s="5">
        <v>10</v>
      </c>
      <c r="AH6" s="16">
        <f t="shared" si="7"/>
        <v>1.88323686089566E-3</v>
      </c>
      <c r="AI6" s="23">
        <v>1535</v>
      </c>
    </row>
    <row r="7" spans="1:35" x14ac:dyDescent="0.3">
      <c r="A7" s="8">
        <v>0.7</v>
      </c>
      <c r="B7" s="13">
        <f t="shared" si="0"/>
        <v>0.20731621249107424</v>
      </c>
      <c r="C7" s="20">
        <v>199750</v>
      </c>
      <c r="E7" s="8">
        <v>0.9</v>
      </c>
      <c r="F7" s="13">
        <f t="shared" si="1"/>
        <v>0.19440868552264498</v>
      </c>
      <c r="G7" s="8">
        <v>209613</v>
      </c>
      <c r="I7" s="5">
        <v>1.4</v>
      </c>
      <c r="J7" s="16">
        <f t="shared" si="2"/>
        <v>8.7943583656128949E-2</v>
      </c>
      <c r="K7" s="23">
        <v>90088</v>
      </c>
      <c r="M7" s="5">
        <v>1.8</v>
      </c>
      <c r="N7" s="16">
        <f t="shared" si="3"/>
        <v>3.3114019350082527E-2</v>
      </c>
      <c r="O7" s="23">
        <v>40606</v>
      </c>
      <c r="Q7" s="5">
        <v>2</v>
      </c>
      <c r="R7" s="16">
        <f t="shared" si="4"/>
        <v>2.5989862543976672E-2</v>
      </c>
      <c r="S7" s="23">
        <v>30606</v>
      </c>
      <c r="U7" s="8">
        <v>3</v>
      </c>
      <c r="V7" s="13">
        <f t="shared" si="5"/>
        <v>2.652818663018091E-2</v>
      </c>
      <c r="W7" s="23">
        <v>30712</v>
      </c>
      <c r="Y7" s="5">
        <v>4</v>
      </c>
      <c r="Z7" s="16">
        <f t="shared" si="8"/>
        <v>1.480284829585383E-2</v>
      </c>
      <c r="AA7" s="23">
        <v>10785</v>
      </c>
      <c r="AC7" s="8">
        <v>5</v>
      </c>
      <c r="AD7" s="13">
        <f t="shared" si="6"/>
        <v>1.026569933351482E-2</v>
      </c>
      <c r="AE7" s="23">
        <v>10785</v>
      </c>
      <c r="AG7" s="5">
        <v>5</v>
      </c>
      <c r="AH7" s="16">
        <f t="shared" si="7"/>
        <v>1.0636914386948125E-2</v>
      </c>
      <c r="AI7" s="23">
        <v>8670</v>
      </c>
    </row>
    <row r="8" spans="1:35" x14ac:dyDescent="0.3">
      <c r="A8" s="8">
        <v>0.4</v>
      </c>
      <c r="B8" s="13">
        <f t="shared" si="0"/>
        <v>0.3010885268768993</v>
      </c>
      <c r="C8" s="20">
        <v>290100</v>
      </c>
      <c r="E8" s="8">
        <v>0.5</v>
      </c>
      <c r="F8" s="13">
        <f t="shared" si="1"/>
        <v>0.24155821511248293</v>
      </c>
      <c r="G8" s="8">
        <v>260450</v>
      </c>
      <c r="I8" s="5">
        <v>0.6</v>
      </c>
      <c r="J8" s="16">
        <f t="shared" si="2"/>
        <v>0.22948230351118332</v>
      </c>
      <c r="K8" s="23">
        <v>235078</v>
      </c>
      <c r="M8" s="5">
        <v>0.7</v>
      </c>
      <c r="N8" s="16">
        <f t="shared" si="3"/>
        <v>0.1966975685179507</v>
      </c>
      <c r="O8" s="23">
        <v>241200</v>
      </c>
      <c r="Q8" s="5">
        <v>1.1000000000000001</v>
      </c>
      <c r="R8" s="16">
        <f t="shared" si="4"/>
        <v>9.9523357843366203E-2</v>
      </c>
      <c r="S8" s="23">
        <v>117200</v>
      </c>
      <c r="U8" s="8">
        <v>1.3</v>
      </c>
      <c r="V8" s="13">
        <f t="shared" si="5"/>
        <v>6.9343670964799542E-2</v>
      </c>
      <c r="W8" s="23">
        <v>80280</v>
      </c>
      <c r="Y8" s="5">
        <v>1.9</v>
      </c>
      <c r="Z8" s="16">
        <f t="shared" si="8"/>
        <v>5.7174543218552351E-2</v>
      </c>
      <c r="AA8" s="23">
        <v>41656</v>
      </c>
      <c r="AC8" s="8">
        <v>3</v>
      </c>
      <c r="AD8" s="13">
        <f t="shared" si="6"/>
        <v>3.0131755039568393E-2</v>
      </c>
      <c r="AE8" s="23">
        <v>31656</v>
      </c>
      <c r="AG8" s="5">
        <v>3</v>
      </c>
      <c r="AH8" s="16">
        <f t="shared" si="7"/>
        <v>2.793692935469386E-2</v>
      </c>
      <c r="AI8" s="23">
        <v>22771</v>
      </c>
    </row>
    <row r="9" spans="1:35" x14ac:dyDescent="0.3">
      <c r="A9" s="8">
        <v>0.7</v>
      </c>
      <c r="B9" s="13">
        <f t="shared" si="0"/>
        <v>0.20731621249107424</v>
      </c>
      <c r="C9" s="20">
        <v>199750</v>
      </c>
      <c r="E9" s="8">
        <v>0.5</v>
      </c>
      <c r="F9" s="13">
        <f t="shared" si="1"/>
        <v>0.24155821511248293</v>
      </c>
      <c r="G9" s="8">
        <v>260450</v>
      </c>
      <c r="I9" s="5">
        <v>0.4</v>
      </c>
      <c r="J9" s="16">
        <f t="shared" si="2"/>
        <v>0.26040039672622767</v>
      </c>
      <c r="K9" s="23">
        <v>266750</v>
      </c>
      <c r="M9" s="5">
        <v>0.5</v>
      </c>
      <c r="N9" s="16">
        <f t="shared" si="3"/>
        <v>0.23492637704607877</v>
      </c>
      <c r="O9" s="23">
        <v>288078</v>
      </c>
      <c r="Q9" s="5">
        <v>0.6</v>
      </c>
      <c r="R9" s="16">
        <f t="shared" si="4"/>
        <v>0.21983283132913783</v>
      </c>
      <c r="S9" s="23">
        <v>258878</v>
      </c>
      <c r="U9" s="8">
        <v>0.7</v>
      </c>
      <c r="V9" s="13">
        <f t="shared" si="5"/>
        <v>0.16054424589189711</v>
      </c>
      <c r="W9" s="23">
        <v>185864</v>
      </c>
      <c r="Y9" s="5">
        <v>1</v>
      </c>
      <c r="Z9" s="16">
        <f t="shared" si="8"/>
        <v>0.12029493148278285</v>
      </c>
      <c r="AA9" s="23">
        <v>87644</v>
      </c>
      <c r="AC9" s="8">
        <v>1.3</v>
      </c>
      <c r="AD9" s="13">
        <f t="shared" si="6"/>
        <v>8.1520218240105996E-2</v>
      </c>
      <c r="AE9" s="23">
        <v>85644</v>
      </c>
      <c r="AG9" s="5">
        <v>1.5</v>
      </c>
      <c r="AH9" s="16">
        <f t="shared" si="7"/>
        <v>6.643470750325732E-2</v>
      </c>
      <c r="AI9" s="23">
        <v>54150</v>
      </c>
    </row>
    <row r="10" spans="1:35" x14ac:dyDescent="0.3">
      <c r="A10" s="8">
        <v>1.3</v>
      </c>
      <c r="B10" s="13">
        <f t="shared" si="0"/>
        <v>0.10481015128115712</v>
      </c>
      <c r="C10" s="20">
        <v>100985</v>
      </c>
      <c r="E10" s="8">
        <v>0.9</v>
      </c>
      <c r="F10" s="13">
        <f t="shared" si="1"/>
        <v>0.19440868552264498</v>
      </c>
      <c r="G10" s="8">
        <v>209613</v>
      </c>
      <c r="I10" s="5">
        <v>0.6</v>
      </c>
      <c r="J10" s="16">
        <f t="shared" si="2"/>
        <v>0.22948230351118332</v>
      </c>
      <c r="K10" s="23">
        <v>235078</v>
      </c>
      <c r="M10" s="5">
        <v>0.5</v>
      </c>
      <c r="N10" s="16">
        <f t="shared" si="3"/>
        <v>0.23492637704607877</v>
      </c>
      <c r="O10" s="23">
        <v>288078</v>
      </c>
      <c r="Q10" s="5">
        <v>0.3</v>
      </c>
      <c r="R10" s="16">
        <f t="shared" si="4"/>
        <v>0.26186446650979567</v>
      </c>
      <c r="S10" s="23">
        <v>308375</v>
      </c>
      <c r="U10" s="8">
        <v>0.4</v>
      </c>
      <c r="V10" s="13">
        <f t="shared" si="5"/>
        <v>0.23157227358790441</v>
      </c>
      <c r="W10" s="23">
        <v>268094</v>
      </c>
      <c r="Y10" s="5">
        <v>0.5</v>
      </c>
      <c r="Z10" s="16">
        <f t="shared" si="8"/>
        <v>0.20099618982782852</v>
      </c>
      <c r="AA10" s="23">
        <v>146441</v>
      </c>
      <c r="AC10" s="8">
        <v>0.5</v>
      </c>
      <c r="AD10" s="13">
        <f t="shared" si="6"/>
        <v>0.18031936462126852</v>
      </c>
      <c r="AE10" s="23">
        <v>189441</v>
      </c>
      <c r="AG10" s="5">
        <v>1</v>
      </c>
      <c r="AH10" s="16">
        <f t="shared" si="7"/>
        <v>0.10451903234750688</v>
      </c>
      <c r="AI10" s="23">
        <v>85192</v>
      </c>
    </row>
    <row r="11" spans="1:35" x14ac:dyDescent="0.3">
      <c r="A11" s="8">
        <v>3</v>
      </c>
      <c r="B11" s="13">
        <f t="shared" si="0"/>
        <v>3.3186162174728903E-2</v>
      </c>
      <c r="C11" s="20">
        <v>31975</v>
      </c>
      <c r="E11" s="8">
        <v>1.7</v>
      </c>
      <c r="F11" s="13">
        <f t="shared" si="1"/>
        <v>4.7312763400011872E-2</v>
      </c>
      <c r="G11" s="8">
        <v>51013</v>
      </c>
      <c r="I11" s="5">
        <v>1.4</v>
      </c>
      <c r="J11" s="16">
        <f t="shared" si="2"/>
        <v>8.7943583656128949E-2</v>
      </c>
      <c r="K11" s="23">
        <v>90088</v>
      </c>
      <c r="M11" s="5">
        <v>0.7</v>
      </c>
      <c r="N11" s="16">
        <f t="shared" si="3"/>
        <v>0.1966975685179507</v>
      </c>
      <c r="O11" s="23">
        <v>241200</v>
      </c>
      <c r="Q11" s="5">
        <v>0.6</v>
      </c>
      <c r="R11" s="16">
        <f t="shared" si="4"/>
        <v>0.21983283132913783</v>
      </c>
      <c r="S11" s="23">
        <v>258878</v>
      </c>
      <c r="U11" s="8">
        <v>0.4</v>
      </c>
      <c r="V11" s="13">
        <f t="shared" si="5"/>
        <v>0.23157227358790441</v>
      </c>
      <c r="W11" s="23">
        <v>268094</v>
      </c>
      <c r="Y11" s="5">
        <v>0.2</v>
      </c>
      <c r="Z11" s="16">
        <f t="shared" si="8"/>
        <v>0.202175202037948</v>
      </c>
      <c r="AA11" s="23">
        <v>147300</v>
      </c>
      <c r="AC11" s="8">
        <v>0.3</v>
      </c>
      <c r="AD11" s="13">
        <f t="shared" si="6"/>
        <v>0.19298753267224197</v>
      </c>
      <c r="AE11" s="23">
        <v>202750</v>
      </c>
      <c r="AG11" s="5">
        <v>0.5</v>
      </c>
      <c r="AH11" s="16">
        <f t="shared" si="7"/>
        <v>0.15515049945649906</v>
      </c>
      <c r="AI11" s="23">
        <v>126461</v>
      </c>
    </row>
    <row r="12" spans="1:35" ht="15" thickBot="1" x14ac:dyDescent="0.35">
      <c r="A12" s="9">
        <v>13</v>
      </c>
      <c r="B12" s="14">
        <f t="shared" si="0"/>
        <v>4.1432106145900798E-3</v>
      </c>
      <c r="C12" s="21">
        <v>3992</v>
      </c>
      <c r="E12" s="8">
        <v>4</v>
      </c>
      <c r="F12" s="13">
        <f t="shared" si="1"/>
        <v>1.3010476642725708E-2</v>
      </c>
      <c r="G12" s="8">
        <v>14028</v>
      </c>
      <c r="I12" s="5">
        <v>2</v>
      </c>
      <c r="J12" s="16">
        <f t="shared" si="2"/>
        <v>4.2020375171810571E-2</v>
      </c>
      <c r="K12" s="23">
        <v>43045</v>
      </c>
      <c r="M12" s="5">
        <v>1.8</v>
      </c>
      <c r="N12" s="16">
        <f t="shared" si="3"/>
        <v>3.3114019350082527E-2</v>
      </c>
      <c r="O12" s="23">
        <v>40606</v>
      </c>
      <c r="Q12" s="5">
        <v>1.1000000000000001</v>
      </c>
      <c r="R12" s="16">
        <f t="shared" si="4"/>
        <v>9.9523357843366203E-2</v>
      </c>
      <c r="S12" s="23">
        <v>117200</v>
      </c>
      <c r="U12" s="8">
        <v>0.7</v>
      </c>
      <c r="V12" s="13">
        <f t="shared" si="5"/>
        <v>0.16054424589189711</v>
      </c>
      <c r="W12" s="23">
        <v>185864</v>
      </c>
      <c r="Y12" s="5">
        <v>0.5</v>
      </c>
      <c r="Z12" s="16">
        <f t="shared" si="8"/>
        <v>0.20099618982782852</v>
      </c>
      <c r="AA12" s="23">
        <v>146441</v>
      </c>
      <c r="AC12" s="8">
        <v>0.3</v>
      </c>
      <c r="AD12" s="13">
        <f t="shared" si="6"/>
        <v>0.19298753267224197</v>
      </c>
      <c r="AE12" s="23">
        <v>202750</v>
      </c>
      <c r="AG12" s="5">
        <v>0.3</v>
      </c>
      <c r="AH12" s="16">
        <f t="shared" si="7"/>
        <v>0.26610688933437698</v>
      </c>
      <c r="AI12" s="23">
        <v>216900</v>
      </c>
    </row>
    <row r="13" spans="1:35" ht="15" thickBot="1" x14ac:dyDescent="0.35">
      <c r="E13" s="9">
        <v>18</v>
      </c>
      <c r="F13" s="14">
        <f t="shared" si="1"/>
        <v>3.7098593221345046E-3</v>
      </c>
      <c r="G13" s="9">
        <v>4000</v>
      </c>
      <c r="I13" s="5">
        <v>5</v>
      </c>
      <c r="J13" s="16">
        <f t="shared" si="2"/>
        <v>7.6299512682743969E-3</v>
      </c>
      <c r="K13" s="23">
        <v>7816</v>
      </c>
      <c r="M13" s="5">
        <v>3</v>
      </c>
      <c r="N13" s="16">
        <f t="shared" si="3"/>
        <v>2.788995374508256E-2</v>
      </c>
      <c r="O13" s="23">
        <v>34200</v>
      </c>
      <c r="Q13" s="5">
        <v>2</v>
      </c>
      <c r="R13" s="16">
        <f t="shared" si="4"/>
        <v>2.5989862543976672E-2</v>
      </c>
      <c r="S13" s="23">
        <v>30606</v>
      </c>
      <c r="U13" s="8">
        <v>1.3</v>
      </c>
      <c r="V13" s="13">
        <f t="shared" si="5"/>
        <v>6.9343670964799542E-2</v>
      </c>
      <c r="W13" s="23">
        <v>80280</v>
      </c>
      <c r="Y13" s="5">
        <v>1</v>
      </c>
      <c r="Z13" s="16">
        <f t="shared" si="8"/>
        <v>0.12029493148278285</v>
      </c>
      <c r="AA13" s="23">
        <v>87644</v>
      </c>
      <c r="AC13" s="8">
        <v>0.5</v>
      </c>
      <c r="AD13" s="13">
        <f t="shared" si="6"/>
        <v>0.18031936462126852</v>
      </c>
      <c r="AE13" s="23">
        <v>189441</v>
      </c>
      <c r="AG13" s="5">
        <v>0.5</v>
      </c>
      <c r="AH13" s="16">
        <f t="shared" si="7"/>
        <v>0.15515049945649906</v>
      </c>
      <c r="AI13" s="23">
        <v>126461</v>
      </c>
    </row>
    <row r="14" spans="1:35" ht="15" thickBot="1" x14ac:dyDescent="0.35">
      <c r="A14" t="s">
        <v>4</v>
      </c>
      <c r="B14" s="1">
        <f>SUMPRODUCT(A4:A12,C4:C12)/SUM(C4:C12)</f>
        <v>0.9900249505969877</v>
      </c>
      <c r="C14" s="1"/>
      <c r="I14" s="6">
        <v>22</v>
      </c>
      <c r="J14" s="17">
        <f t="shared" si="2"/>
        <v>2.7235880294889415E-3</v>
      </c>
      <c r="K14" s="24">
        <v>2790</v>
      </c>
      <c r="M14" s="5">
        <v>6</v>
      </c>
      <c r="N14" s="16">
        <f t="shared" si="3"/>
        <v>4.4648390863838306E-3</v>
      </c>
      <c r="O14" s="23">
        <v>5475</v>
      </c>
      <c r="Q14" s="5">
        <v>4</v>
      </c>
      <c r="R14" s="16">
        <f t="shared" si="4"/>
        <v>1.8512023899192688E-2</v>
      </c>
      <c r="S14" s="23">
        <v>21800</v>
      </c>
      <c r="U14" s="8">
        <v>3</v>
      </c>
      <c r="V14" s="13">
        <f t="shared" si="5"/>
        <v>2.652818663018091E-2</v>
      </c>
      <c r="W14" s="23">
        <v>30712</v>
      </c>
      <c r="Y14" s="5">
        <v>1.9</v>
      </c>
      <c r="Z14" s="16">
        <f t="shared" si="8"/>
        <v>5.7174543218552351E-2</v>
      </c>
      <c r="AA14" s="23">
        <v>41656</v>
      </c>
      <c r="AC14" s="8">
        <v>1.3</v>
      </c>
      <c r="AD14" s="13">
        <f t="shared" si="6"/>
        <v>8.1520218240105996E-2</v>
      </c>
      <c r="AE14" s="23">
        <v>85644</v>
      </c>
      <c r="AG14" s="5">
        <v>1</v>
      </c>
      <c r="AH14" s="16">
        <f t="shared" si="7"/>
        <v>0.10451903234750688</v>
      </c>
      <c r="AI14" s="23">
        <v>85192</v>
      </c>
    </row>
    <row r="15" spans="1:35" ht="15" thickBot="1" x14ac:dyDescent="0.35">
      <c r="E15" t="s">
        <v>4</v>
      </c>
      <c r="F15" s="1">
        <f>SUMPRODUCT(E4:E13,G4:G13)/SUM(G4:G13)</f>
        <v>0.98999599335193222</v>
      </c>
      <c r="M15" s="6">
        <v>24</v>
      </c>
      <c r="N15" s="17">
        <f t="shared" si="3"/>
        <v>2.9072422544216179E-3</v>
      </c>
      <c r="O15" s="24">
        <v>3565</v>
      </c>
      <c r="Q15" s="5">
        <v>11</v>
      </c>
      <c r="R15" s="16">
        <f t="shared" si="4"/>
        <v>3.8000599517838203E-3</v>
      </c>
      <c r="S15" s="23">
        <v>4475</v>
      </c>
      <c r="U15" s="8">
        <v>6</v>
      </c>
      <c r="V15" s="13">
        <f t="shared" si="5"/>
        <v>7.0146979559683239E-3</v>
      </c>
      <c r="W15" s="23">
        <v>8121</v>
      </c>
      <c r="Y15" s="5">
        <v>4</v>
      </c>
      <c r="Z15" s="16">
        <f t="shared" si="8"/>
        <v>1.480284829585383E-2</v>
      </c>
      <c r="AA15" s="23">
        <v>10785</v>
      </c>
      <c r="AC15" s="8">
        <v>3</v>
      </c>
      <c r="AD15" s="13">
        <f t="shared" si="6"/>
        <v>3.0131755039568393E-2</v>
      </c>
      <c r="AE15" s="23">
        <v>31656</v>
      </c>
      <c r="AG15" s="5">
        <v>1.5</v>
      </c>
      <c r="AH15" s="16">
        <f t="shared" si="7"/>
        <v>6.643470750325732E-2</v>
      </c>
      <c r="AI15" s="23">
        <v>54150</v>
      </c>
    </row>
    <row r="16" spans="1:35" ht="15" thickBot="1" x14ac:dyDescent="0.35">
      <c r="B16" s="25"/>
      <c r="I16" t="s">
        <v>4</v>
      </c>
      <c r="J16" s="1">
        <f>SUMPRODUCT(I4:I14,J4:J14)</f>
        <v>0.98999984380857176</v>
      </c>
      <c r="K16" s="1"/>
      <c r="Q16" s="6">
        <v>33</v>
      </c>
      <c r="R16" s="17">
        <f t="shared" si="4"/>
        <v>1.409631177644948E-3</v>
      </c>
      <c r="S16" s="24">
        <v>1660</v>
      </c>
      <c r="U16" s="8">
        <v>13</v>
      </c>
      <c r="V16" s="13">
        <f t="shared" si="5"/>
        <v>4.5564009010876623E-3</v>
      </c>
      <c r="W16" s="23">
        <v>5275</v>
      </c>
      <c r="Y16" s="5">
        <v>7</v>
      </c>
      <c r="Z16" s="16">
        <f t="shared" si="8"/>
        <v>3.5054682009838371E-3</v>
      </c>
      <c r="AA16" s="23">
        <v>2554</v>
      </c>
      <c r="AC16" s="8">
        <v>5</v>
      </c>
      <c r="AD16" s="13">
        <f t="shared" si="6"/>
        <v>1.026569933351482E-2</v>
      </c>
      <c r="AE16" s="23">
        <v>10785</v>
      </c>
      <c r="AG16" s="5">
        <v>3</v>
      </c>
      <c r="AH16" s="16">
        <f t="shared" si="7"/>
        <v>2.793692935469386E-2</v>
      </c>
      <c r="AI16" s="23">
        <v>22771</v>
      </c>
    </row>
    <row r="17" spans="2:35" ht="15" thickBot="1" x14ac:dyDescent="0.35">
      <c r="F17" s="28"/>
      <c r="M17" t="s">
        <v>4</v>
      </c>
      <c r="N17" s="1">
        <f>SUMPRODUCT(M4:M15,O4:O15)/SUM(O4:O15)</f>
        <v>0.98997886235084587</v>
      </c>
      <c r="O17" s="1"/>
      <c r="U17" s="9">
        <v>43</v>
      </c>
      <c r="V17" s="14">
        <f t="shared" si="5"/>
        <v>4.4052406816202992E-4</v>
      </c>
      <c r="W17" s="24">
        <v>510</v>
      </c>
      <c r="Y17" s="5">
        <v>15</v>
      </c>
      <c r="Z17" s="16">
        <f t="shared" si="8"/>
        <v>1.4521477512297962E-3</v>
      </c>
      <c r="AA17" s="23">
        <v>1058</v>
      </c>
      <c r="AC17" s="8">
        <v>11</v>
      </c>
      <c r="AD17" s="13">
        <f t="shared" si="6"/>
        <v>2.9069490741357681E-3</v>
      </c>
      <c r="AE17" s="23">
        <v>3054</v>
      </c>
      <c r="AG17" s="5">
        <v>5</v>
      </c>
      <c r="AH17" s="16">
        <f t="shared" si="7"/>
        <v>1.0636914386948125E-2</v>
      </c>
      <c r="AI17" s="23">
        <v>8670</v>
      </c>
    </row>
    <row r="18" spans="2:35" ht="15" thickBot="1" x14ac:dyDescent="0.35">
      <c r="J18" s="28"/>
      <c r="Q18" t="s">
        <v>4</v>
      </c>
      <c r="R18" s="1">
        <f>SUMPRODUCT(Q4:Q16,S4:S16)/SUM(S4:S16)</f>
        <v>0.99000274283656864</v>
      </c>
      <c r="S18" s="1"/>
      <c r="Y18" s="6">
        <v>58</v>
      </c>
      <c r="Z18" s="17">
        <f t="shared" si="8"/>
        <v>6.8627020379479972E-4</v>
      </c>
      <c r="AA18" s="24">
        <v>500</v>
      </c>
      <c r="AC18" s="8">
        <v>18</v>
      </c>
      <c r="AD18" s="13">
        <f t="shared" si="6"/>
        <v>1.387796905726899E-3</v>
      </c>
      <c r="AE18" s="23">
        <v>1458</v>
      </c>
      <c r="AG18" s="5">
        <v>10</v>
      </c>
      <c r="AH18" s="16">
        <f t="shared" si="7"/>
        <v>1.88323686089566E-3</v>
      </c>
      <c r="AI18" s="23">
        <v>1535</v>
      </c>
    </row>
    <row r="19" spans="2:35" ht="15" thickBot="1" x14ac:dyDescent="0.35">
      <c r="F19" s="27"/>
      <c r="N19" s="28"/>
      <c r="U19" t="s">
        <v>4</v>
      </c>
      <c r="V19" s="1">
        <f>SUMPRODUCT(U4:U17,V4:V17)</f>
        <v>0.99001029617037739</v>
      </c>
      <c r="W19" s="1"/>
      <c r="AC19" s="9">
        <v>88</v>
      </c>
      <c r="AD19" s="14">
        <f t="shared" si="6"/>
        <v>4.8068411343764339E-4</v>
      </c>
      <c r="AE19" s="24">
        <v>505</v>
      </c>
      <c r="AG19" s="5">
        <v>41</v>
      </c>
      <c r="AH19" s="16">
        <f t="shared" si="7"/>
        <v>3.6069813492073231E-4</v>
      </c>
      <c r="AI19" s="23">
        <v>294</v>
      </c>
    </row>
    <row r="20" spans="2:35" ht="15" thickBot="1" x14ac:dyDescent="0.35">
      <c r="B20" s="26"/>
      <c r="Y20" t="s">
        <v>4</v>
      </c>
      <c r="Z20" s="1">
        <f>SUMPRODUCT(Y4:Y18,Z4:Z18)</f>
        <v>0.98995547478917767</v>
      </c>
      <c r="AA20" s="1"/>
      <c r="AG20" s="6">
        <v>110</v>
      </c>
      <c r="AH20" s="17">
        <f t="shared" si="7"/>
        <v>2.4537288089845734E-5</v>
      </c>
      <c r="AI20" s="24">
        <v>20</v>
      </c>
    </row>
    <row r="21" spans="2:35" x14ac:dyDescent="0.3">
      <c r="V21" s="28"/>
      <c r="AC21" t="s">
        <v>4</v>
      </c>
      <c r="AD21" s="1">
        <f>SUMPRODUCT(AC4:AC19,AD4:AD19)</f>
        <v>0.99002594742362837</v>
      </c>
      <c r="AE21" s="1"/>
    </row>
    <row r="22" spans="2:35" x14ac:dyDescent="0.3">
      <c r="AG22" t="s">
        <v>4</v>
      </c>
      <c r="AH22" s="1">
        <f>SUMPRODUCT(AG4:AG20,AH4:AH20)</f>
        <v>0.98995566112042177</v>
      </c>
    </row>
    <row r="23" spans="2:35" x14ac:dyDescent="0.3">
      <c r="AD23" s="28"/>
    </row>
    <row r="24" spans="2:35" x14ac:dyDescent="0.3">
      <c r="AH24" s="2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F018-F412-4395-993F-646D1CD0CF5F}">
  <dimension ref="A2:AI24"/>
  <sheetViews>
    <sheetView workbookViewId="0"/>
  </sheetViews>
  <sheetFormatPr defaultRowHeight="14.4" x14ac:dyDescent="0.3"/>
  <cols>
    <col min="2" max="2" width="9.6640625" bestFit="1" customWidth="1"/>
    <col min="3" max="3" width="12.21875" customWidth="1"/>
    <col min="6" max="6" width="11" customWidth="1"/>
    <col min="10" max="10" width="10" bestFit="1" customWidth="1"/>
    <col min="11" max="11" width="9.6640625" customWidth="1"/>
    <col min="14" max="15" width="10.33203125" customWidth="1"/>
    <col min="18" max="18" width="9.6640625" bestFit="1" customWidth="1"/>
    <col min="19" max="19" width="9.6640625" customWidth="1"/>
    <col min="22" max="23" width="9.44140625" customWidth="1"/>
    <col min="26" max="27" width="10.109375" customWidth="1"/>
    <col min="30" max="31" width="9.5546875" customWidth="1"/>
    <col min="34" max="34" width="10.109375" customWidth="1"/>
    <col min="35" max="35" width="10" bestFit="1" customWidth="1"/>
  </cols>
  <sheetData>
    <row r="2" spans="1:35" ht="15" thickBot="1" x14ac:dyDescent="0.35">
      <c r="A2" s="2" t="s">
        <v>0</v>
      </c>
      <c r="E2" s="2" t="s">
        <v>5</v>
      </c>
      <c r="I2" s="2" t="s">
        <v>6</v>
      </c>
      <c r="M2" s="2" t="s">
        <v>7</v>
      </c>
      <c r="Q2" s="2" t="s">
        <v>8</v>
      </c>
      <c r="U2" s="2" t="s">
        <v>9</v>
      </c>
      <c r="Y2" s="2" t="s">
        <v>10</v>
      </c>
      <c r="AC2" s="2" t="s">
        <v>11</v>
      </c>
      <c r="AG2" s="2" t="s">
        <v>12</v>
      </c>
    </row>
    <row r="3" spans="1:35" ht="15" thickBot="1" x14ac:dyDescent="0.35">
      <c r="A3" s="10" t="s">
        <v>1</v>
      </c>
      <c r="B3" s="11" t="s">
        <v>2</v>
      </c>
      <c r="C3" s="10" t="s">
        <v>3</v>
      </c>
      <c r="E3" s="3" t="s">
        <v>1</v>
      </c>
      <c r="F3" s="10" t="s">
        <v>2</v>
      </c>
      <c r="G3" s="10" t="s">
        <v>3</v>
      </c>
      <c r="I3" s="12" t="s">
        <v>1</v>
      </c>
      <c r="J3" s="10" t="s">
        <v>2</v>
      </c>
      <c r="K3" s="7" t="s">
        <v>3</v>
      </c>
      <c r="M3" s="10" t="s">
        <v>1</v>
      </c>
      <c r="N3" s="10" t="s">
        <v>2</v>
      </c>
      <c r="O3" s="7" t="s">
        <v>3</v>
      </c>
      <c r="Q3" s="12" t="s">
        <v>1</v>
      </c>
      <c r="R3" s="11" t="s">
        <v>2</v>
      </c>
      <c r="S3" s="7" t="s">
        <v>3</v>
      </c>
      <c r="U3" s="3" t="s">
        <v>1</v>
      </c>
      <c r="V3" s="10" t="s">
        <v>2</v>
      </c>
      <c r="W3" s="7" t="s">
        <v>3</v>
      </c>
      <c r="Y3" s="10" t="s">
        <v>1</v>
      </c>
      <c r="Z3" s="4" t="s">
        <v>2</v>
      </c>
      <c r="AA3" s="7" t="s">
        <v>3</v>
      </c>
      <c r="AC3" s="10" t="s">
        <v>1</v>
      </c>
      <c r="AD3" s="10" t="s">
        <v>2</v>
      </c>
      <c r="AE3" s="4" t="s">
        <v>3</v>
      </c>
      <c r="AG3" s="10" t="s">
        <v>1</v>
      </c>
      <c r="AH3" s="4" t="s">
        <v>2</v>
      </c>
      <c r="AI3" s="4" t="s">
        <v>3</v>
      </c>
    </row>
    <row r="4" spans="1:35" x14ac:dyDescent="0.3">
      <c r="A4" s="8">
        <v>29</v>
      </c>
      <c r="B4" s="13">
        <f>C4/SUM($C$4:$C$12)</f>
        <v>3.4340940868907784E-3</v>
      </c>
      <c r="C4" s="19">
        <v>3016</v>
      </c>
      <c r="E4" s="7">
        <v>43</v>
      </c>
      <c r="F4" s="29">
        <f>G4/SUM($G$4:$G$13)</f>
        <v>1.1919965180447317E-3</v>
      </c>
      <c r="G4" s="19">
        <v>1331</v>
      </c>
      <c r="H4" s="18"/>
      <c r="I4" s="5">
        <v>76</v>
      </c>
      <c r="J4" s="16">
        <f>K4/SUM($K$4:$K$14)</f>
        <v>1.5095599543935299E-3</v>
      </c>
      <c r="K4" s="19">
        <v>1700</v>
      </c>
      <c r="M4" s="5">
        <v>120</v>
      </c>
      <c r="N4" s="16">
        <f>O4/SUM($O$4:$O$15)</f>
        <v>1.218015967566991E-3</v>
      </c>
      <c r="O4" s="35">
        <v>1370</v>
      </c>
      <c r="Q4" s="5">
        <v>170</v>
      </c>
      <c r="R4" s="15">
        <f>S4/SUM($S$4:$S$16)</f>
        <v>6.225623463988418E-4</v>
      </c>
      <c r="S4" s="22">
        <v>725</v>
      </c>
      <c r="U4" s="7">
        <v>260</v>
      </c>
      <c r="V4" s="13">
        <f>W4/SUM($W$4:$W$17)</f>
        <v>3.7065929945392402E-4</v>
      </c>
      <c r="W4" s="22">
        <v>430</v>
      </c>
      <c r="Y4" s="5">
        <v>420</v>
      </c>
      <c r="Z4" s="15">
        <f>AA4/SUM($AA$4:$AA$18)</f>
        <v>1.5339476561279815E-4</v>
      </c>
      <c r="AA4" s="22">
        <v>165</v>
      </c>
      <c r="AC4" s="7">
        <v>620</v>
      </c>
      <c r="AD4" s="13">
        <f>AE4/SUM($AE$4:$AE$19)</f>
        <v>1.290097566964961E-4</v>
      </c>
      <c r="AE4" s="22">
        <v>145</v>
      </c>
      <c r="AG4" s="5">
        <v>1000</v>
      </c>
      <c r="AH4" s="15">
        <f>AI4/SUM($AI$4:$AI$20)</f>
        <v>9.1748016574696236E-5</v>
      </c>
      <c r="AI4" s="22">
        <v>110</v>
      </c>
    </row>
    <row r="5" spans="1:35" x14ac:dyDescent="0.3">
      <c r="A5" s="8">
        <v>4</v>
      </c>
      <c r="B5" s="13">
        <f t="shared" ref="B5:B12" si="0">C5/SUM($C$4:$C$12)</f>
        <v>3.4130295177238423E-2</v>
      </c>
      <c r="C5" s="20">
        <v>29975</v>
      </c>
      <c r="E5" s="8">
        <v>7</v>
      </c>
      <c r="F5" s="29">
        <f t="shared" ref="F5:F13" si="1">G5/SUM($G$4:$G$13)</f>
        <v>1.8703867227170715E-2</v>
      </c>
      <c r="G5" s="31">
        <v>20885</v>
      </c>
      <c r="I5" s="5">
        <v>10</v>
      </c>
      <c r="J5" s="16">
        <f t="shared" ref="J5:J14" si="2">K5/SUM($K$4:$K$14)</f>
        <v>7.5477997719676495E-3</v>
      </c>
      <c r="K5" s="20">
        <v>8500</v>
      </c>
      <c r="M5" s="5">
        <v>14</v>
      </c>
      <c r="N5" s="16">
        <f t="shared" ref="N5:N15" si="3">O5/SUM($O$4:$O$15)</f>
        <v>2.7249773288998739E-3</v>
      </c>
      <c r="O5" s="36">
        <v>3065</v>
      </c>
      <c r="Q5" s="5">
        <v>24</v>
      </c>
      <c r="R5" s="16">
        <f t="shared" ref="R5:R16" si="4">S5/SUM($S$4:$S$16)</f>
        <v>2.0179607090169355E-3</v>
      </c>
      <c r="S5" s="23">
        <v>2350</v>
      </c>
      <c r="U5" s="8">
        <v>37</v>
      </c>
      <c r="V5" s="13">
        <f t="shared" ref="V5:V17" si="5">W5/SUM($W$4:$W$17)</f>
        <v>1.0861179472370797E-3</v>
      </c>
      <c r="W5" s="23">
        <v>1260</v>
      </c>
      <c r="Y5" s="5">
        <v>56</v>
      </c>
      <c r="Z5" s="16">
        <f>AA5/SUM($AA$4:$AA$18)</f>
        <v>6.0614174048208725E-4</v>
      </c>
      <c r="AA5" s="23">
        <v>652</v>
      </c>
      <c r="AC5" s="8">
        <v>83</v>
      </c>
      <c r="AD5" s="13">
        <f t="shared" ref="AD5:AD19" si="6">AE5/SUM($AE$4:$AE$19)</f>
        <v>3.6923482088997158E-4</v>
      </c>
      <c r="AE5" s="23">
        <v>415</v>
      </c>
      <c r="AG5" s="5">
        <v>130</v>
      </c>
      <c r="AH5" s="16">
        <f t="shared" ref="AH5:AH20" si="7">AI5/SUM($AI$4:$AI$20)</f>
        <v>1.7098493998011569E-4</v>
      </c>
      <c r="AI5" s="23">
        <v>205</v>
      </c>
    </row>
    <row r="6" spans="1:35" x14ac:dyDescent="0.3">
      <c r="A6" s="8">
        <v>1.5</v>
      </c>
      <c r="B6" s="13">
        <f t="shared" si="0"/>
        <v>0.11498408201746196</v>
      </c>
      <c r="C6" s="20">
        <v>100985</v>
      </c>
      <c r="E6" s="8">
        <v>2</v>
      </c>
      <c r="F6" s="29">
        <f t="shared" si="1"/>
        <v>8.1482947553944335E-2</v>
      </c>
      <c r="G6" s="31">
        <v>90985</v>
      </c>
      <c r="I6" s="5">
        <v>3</v>
      </c>
      <c r="J6" s="16">
        <f t="shared" si="2"/>
        <v>3.9110922465448839E-2</v>
      </c>
      <c r="K6" s="20">
        <v>44045</v>
      </c>
      <c r="M6" s="5">
        <v>5.2</v>
      </c>
      <c r="N6" s="16">
        <f t="shared" si="3"/>
        <v>1.9208200714806452E-2</v>
      </c>
      <c r="O6" s="36">
        <v>21605</v>
      </c>
      <c r="Q6" s="5">
        <v>8.1</v>
      </c>
      <c r="R6" s="16">
        <f t="shared" si="4"/>
        <v>1.3387237214286819E-2</v>
      </c>
      <c r="S6" s="23">
        <v>15590</v>
      </c>
      <c r="U6" s="8">
        <v>11</v>
      </c>
      <c r="V6" s="13">
        <f t="shared" si="5"/>
        <v>7.8614251419064814E-3</v>
      </c>
      <c r="W6" s="23">
        <v>9120</v>
      </c>
      <c r="Y6" s="5">
        <v>18</v>
      </c>
      <c r="Z6" s="16">
        <f t="shared" ref="Z6:Z18" si="8">AA6/SUM($AA$4:$AA$18)</f>
        <v>4.9783573930699031E-3</v>
      </c>
      <c r="AA6" s="23">
        <v>5355</v>
      </c>
      <c r="AC6" s="8">
        <v>27</v>
      </c>
      <c r="AD6" s="13">
        <f t="shared" si="6"/>
        <v>2.5819745788498738E-3</v>
      </c>
      <c r="AE6" s="23">
        <v>2902</v>
      </c>
      <c r="AG6" s="5">
        <v>26</v>
      </c>
      <c r="AH6" s="16">
        <f t="shared" si="7"/>
        <v>1.2744633575103258E-3</v>
      </c>
      <c r="AI6" s="23">
        <v>1528</v>
      </c>
    </row>
    <row r="7" spans="1:35" x14ac:dyDescent="0.3">
      <c r="A7" s="8">
        <v>0.3</v>
      </c>
      <c r="B7" s="13">
        <f t="shared" si="0"/>
        <v>0.19100440420289394</v>
      </c>
      <c r="C7" s="20">
        <v>167750</v>
      </c>
      <c r="E7" s="8">
        <v>0.6</v>
      </c>
      <c r="F7" s="29">
        <f t="shared" si="1"/>
        <v>0.17530677566285216</v>
      </c>
      <c r="G7" s="31">
        <v>195750</v>
      </c>
      <c r="I7" s="5">
        <v>0.9</v>
      </c>
      <c r="J7" s="16">
        <f t="shared" si="2"/>
        <v>0.10583613637897414</v>
      </c>
      <c r="K7" s="20">
        <v>119188</v>
      </c>
      <c r="M7" s="5">
        <v>1.4</v>
      </c>
      <c r="N7" s="16">
        <f t="shared" si="3"/>
        <v>6.7182915770195056E-2</v>
      </c>
      <c r="O7" s="36">
        <v>75566</v>
      </c>
      <c r="Q7" s="5">
        <v>2</v>
      </c>
      <c r="R7" s="16">
        <f t="shared" si="4"/>
        <v>4.6465477415155484E-2</v>
      </c>
      <c r="S7" s="23">
        <v>54111</v>
      </c>
      <c r="U7" s="8">
        <v>4</v>
      </c>
      <c r="V7" s="13">
        <f t="shared" si="5"/>
        <v>2.9921687448010725E-2</v>
      </c>
      <c r="W7" s="23">
        <v>34712</v>
      </c>
      <c r="Y7" s="5">
        <v>5</v>
      </c>
      <c r="Z7" s="16">
        <f t="shared" si="8"/>
        <v>2.0635779468528972E-2</v>
      </c>
      <c r="AA7" s="23">
        <v>22197</v>
      </c>
      <c r="AC7" s="8">
        <v>8</v>
      </c>
      <c r="AD7" s="13">
        <f t="shared" si="6"/>
        <v>1.2175851864769304E-2</v>
      </c>
      <c r="AE7" s="23">
        <v>13685</v>
      </c>
      <c r="AG7" s="5">
        <v>9</v>
      </c>
      <c r="AH7" s="16">
        <f t="shared" si="7"/>
        <v>7.1897082079443774E-3</v>
      </c>
      <c r="AI7" s="23">
        <v>8620</v>
      </c>
    </row>
    <row r="8" spans="1:35" x14ac:dyDescent="0.3">
      <c r="A8" s="8">
        <v>0.2</v>
      </c>
      <c r="B8" s="13">
        <f t="shared" si="0"/>
        <v>0.31403287439140476</v>
      </c>
      <c r="C8" s="20">
        <v>275800</v>
      </c>
      <c r="E8" s="8">
        <v>0.2</v>
      </c>
      <c r="F8" s="29">
        <f t="shared" si="1"/>
        <v>0.22331441303798805</v>
      </c>
      <c r="G8" s="31">
        <v>249356</v>
      </c>
      <c r="I8" s="5">
        <v>0.3</v>
      </c>
      <c r="J8" s="16">
        <f t="shared" si="2"/>
        <v>0.23014395874106253</v>
      </c>
      <c r="K8" s="20">
        <v>259178</v>
      </c>
      <c r="M8" s="5">
        <v>0.4</v>
      </c>
      <c r="N8" s="16">
        <f t="shared" si="3"/>
        <v>0.17412293959707675</v>
      </c>
      <c r="O8" s="36">
        <v>195850</v>
      </c>
      <c r="Q8" s="5">
        <v>0.7</v>
      </c>
      <c r="R8" s="16">
        <f t="shared" si="4"/>
        <v>0.10377470284455176</v>
      </c>
      <c r="S8" s="23">
        <v>120850</v>
      </c>
      <c r="U8" s="8">
        <v>1</v>
      </c>
      <c r="V8" s="13">
        <f t="shared" si="5"/>
        <v>7.5235217805438348E-2</v>
      </c>
      <c r="W8" s="23">
        <v>87280</v>
      </c>
      <c r="Y8" s="5">
        <v>1.9</v>
      </c>
      <c r="Z8" s="16">
        <f t="shared" si="8"/>
        <v>5.5869162631919496E-2</v>
      </c>
      <c r="AA8" s="23">
        <v>60096</v>
      </c>
      <c r="AC8" s="8">
        <v>3</v>
      </c>
      <c r="AD8" s="13">
        <f t="shared" si="6"/>
        <v>3.2613666492874213E-2</v>
      </c>
      <c r="AE8" s="23">
        <v>36656</v>
      </c>
      <c r="AG8" s="5">
        <v>4</v>
      </c>
      <c r="AH8" s="16">
        <f t="shared" si="7"/>
        <v>2.5497607878986035E-2</v>
      </c>
      <c r="AI8" s="23">
        <v>30570</v>
      </c>
    </row>
    <row r="9" spans="1:35" x14ac:dyDescent="0.3">
      <c r="A9" s="8">
        <v>0.3</v>
      </c>
      <c r="B9" s="13">
        <f t="shared" si="0"/>
        <v>0.19100440420289394</v>
      </c>
      <c r="C9" s="20">
        <v>167750</v>
      </c>
      <c r="E9" s="8">
        <v>0.2</v>
      </c>
      <c r="F9" s="29">
        <f t="shared" si="1"/>
        <v>0.22331441303798805</v>
      </c>
      <c r="G9" s="31">
        <v>249356</v>
      </c>
      <c r="I9" s="5">
        <v>0.2</v>
      </c>
      <c r="J9" s="16">
        <f t="shared" si="2"/>
        <v>0.23170324537630665</v>
      </c>
      <c r="K9" s="20">
        <v>260934</v>
      </c>
      <c r="M9" s="5">
        <v>0.2</v>
      </c>
      <c r="N9" s="16">
        <f t="shared" si="3"/>
        <v>0.23554295062145486</v>
      </c>
      <c r="O9" s="36">
        <v>264934</v>
      </c>
      <c r="Q9" s="5">
        <v>0.2</v>
      </c>
      <c r="R9" s="16">
        <f t="shared" si="4"/>
        <v>0.21998176107001721</v>
      </c>
      <c r="S9" s="23">
        <v>256178</v>
      </c>
      <c r="U9" s="8">
        <v>0.2</v>
      </c>
      <c r="V9" s="13">
        <f t="shared" si="5"/>
        <v>0.17008434654058505</v>
      </c>
      <c r="W9" s="23">
        <v>197314</v>
      </c>
      <c r="Y9" s="5">
        <v>0.3</v>
      </c>
      <c r="Z9" s="16">
        <f t="shared" si="8"/>
        <v>0.14148761314026045</v>
      </c>
      <c r="AA9" s="23">
        <v>152192</v>
      </c>
      <c r="AC9" s="8">
        <v>0.5</v>
      </c>
      <c r="AD9" s="13">
        <f t="shared" si="6"/>
        <v>9.6661227496694688E-2</v>
      </c>
      <c r="AE9" s="23">
        <v>108642</v>
      </c>
      <c r="AG9" s="5">
        <v>2</v>
      </c>
      <c r="AH9" s="16">
        <f t="shared" si="7"/>
        <v>4.9335410730848017E-2</v>
      </c>
      <c r="AI9" s="23">
        <v>59150</v>
      </c>
    </row>
    <row r="10" spans="1:35" x14ac:dyDescent="0.3">
      <c r="A10" s="8">
        <v>1.5</v>
      </c>
      <c r="B10" s="13">
        <f t="shared" si="0"/>
        <v>0.11498408201746196</v>
      </c>
      <c r="C10" s="20">
        <v>100985</v>
      </c>
      <c r="E10" s="8">
        <v>0.6</v>
      </c>
      <c r="F10" s="29">
        <f t="shared" si="1"/>
        <v>0.17530677566285216</v>
      </c>
      <c r="G10" s="31">
        <v>195750</v>
      </c>
      <c r="I10" s="5">
        <v>0.3</v>
      </c>
      <c r="J10" s="16">
        <f t="shared" si="2"/>
        <v>0.23014395874106253</v>
      </c>
      <c r="K10" s="20">
        <v>259178</v>
      </c>
      <c r="M10" s="5">
        <v>0.2</v>
      </c>
      <c r="N10" s="16">
        <f t="shared" si="3"/>
        <v>0.23554295062145486</v>
      </c>
      <c r="O10" s="36">
        <v>264934</v>
      </c>
      <c r="Q10" s="5">
        <v>0.2</v>
      </c>
      <c r="R10" s="16">
        <f t="shared" si="4"/>
        <v>0.22750059680114587</v>
      </c>
      <c r="S10" s="23">
        <v>264934</v>
      </c>
      <c r="U10" s="8">
        <v>0.2</v>
      </c>
      <c r="V10" s="13">
        <f t="shared" si="5"/>
        <v>0.21544270081329547</v>
      </c>
      <c r="W10" s="23">
        <v>249934</v>
      </c>
      <c r="Y10" s="5">
        <v>0.2</v>
      </c>
      <c r="Z10" s="16">
        <f t="shared" si="8"/>
        <v>0.183435968376507</v>
      </c>
      <c r="AA10" s="23">
        <v>197314</v>
      </c>
      <c r="AC10" s="8">
        <v>0.2</v>
      </c>
      <c r="AD10" s="13">
        <f t="shared" si="6"/>
        <v>0.17769003137161393</v>
      </c>
      <c r="AE10" s="23">
        <v>199714</v>
      </c>
      <c r="AG10" s="5">
        <v>0.2</v>
      </c>
      <c r="AH10" s="16">
        <f t="shared" si="7"/>
        <v>0.16665943803505776</v>
      </c>
      <c r="AI10" s="23">
        <v>199814</v>
      </c>
    </row>
    <row r="11" spans="1:35" x14ac:dyDescent="0.3">
      <c r="A11" s="8">
        <v>4</v>
      </c>
      <c r="B11" s="13">
        <f t="shared" si="0"/>
        <v>3.2991669816863495E-2</v>
      </c>
      <c r="C11" s="20">
        <v>28975</v>
      </c>
      <c r="E11" s="8">
        <v>2</v>
      </c>
      <c r="F11" s="29">
        <f t="shared" si="1"/>
        <v>8.1482947553944335E-2</v>
      </c>
      <c r="G11" s="31">
        <v>90985</v>
      </c>
      <c r="I11" s="5">
        <v>0.9</v>
      </c>
      <c r="J11" s="16">
        <f t="shared" si="2"/>
        <v>0.10583613637897414</v>
      </c>
      <c r="K11" s="20">
        <v>119188</v>
      </c>
      <c r="M11" s="5">
        <v>0.4</v>
      </c>
      <c r="N11" s="16">
        <f t="shared" si="3"/>
        <v>0.17412293959707675</v>
      </c>
      <c r="O11" s="36">
        <v>195850</v>
      </c>
      <c r="Q11" s="5">
        <v>0.2</v>
      </c>
      <c r="R11" s="16">
        <f t="shared" si="4"/>
        <v>0.21998176107001721</v>
      </c>
      <c r="S11" s="23">
        <v>256178</v>
      </c>
      <c r="U11" s="8">
        <v>0.2</v>
      </c>
      <c r="V11" s="13">
        <f t="shared" si="5"/>
        <v>0.21544270081329547</v>
      </c>
      <c r="W11" s="23">
        <v>249934</v>
      </c>
      <c r="Y11" s="5">
        <v>0.2</v>
      </c>
      <c r="Z11" s="16">
        <f t="shared" si="8"/>
        <v>0.18566716496723859</v>
      </c>
      <c r="AA11" s="23">
        <v>199714</v>
      </c>
      <c r="AC11" s="8">
        <v>0.2</v>
      </c>
      <c r="AD11" s="13">
        <f t="shared" si="6"/>
        <v>0.17777900361761151</v>
      </c>
      <c r="AE11" s="23">
        <v>199814</v>
      </c>
      <c r="AG11" s="5">
        <v>0.2</v>
      </c>
      <c r="AH11" s="16">
        <f t="shared" si="7"/>
        <v>0.16665943803505776</v>
      </c>
      <c r="AI11" s="23">
        <v>199814</v>
      </c>
    </row>
    <row r="12" spans="1:35" ht="15" thickBot="1" x14ac:dyDescent="0.35">
      <c r="A12" s="9">
        <v>29</v>
      </c>
      <c r="B12" s="14">
        <f t="shared" si="0"/>
        <v>3.4340940868907784E-3</v>
      </c>
      <c r="C12" s="21">
        <v>3016</v>
      </c>
      <c r="E12" s="8">
        <v>7</v>
      </c>
      <c r="F12" s="29">
        <f t="shared" si="1"/>
        <v>1.8703867227170715E-2</v>
      </c>
      <c r="G12" s="31">
        <v>20885</v>
      </c>
      <c r="I12" s="5">
        <v>3</v>
      </c>
      <c r="J12" s="16">
        <f t="shared" si="2"/>
        <v>3.9110922465448839E-2</v>
      </c>
      <c r="K12" s="20">
        <v>44045</v>
      </c>
      <c r="M12" s="5">
        <v>1.4</v>
      </c>
      <c r="N12" s="16">
        <f t="shared" si="3"/>
        <v>6.7182915770195056E-2</v>
      </c>
      <c r="O12" s="36">
        <v>75566</v>
      </c>
      <c r="Q12" s="5">
        <v>0.7</v>
      </c>
      <c r="R12" s="16">
        <f t="shared" si="4"/>
        <v>0.10377470284455176</v>
      </c>
      <c r="S12" s="23">
        <v>120850</v>
      </c>
      <c r="U12" s="8">
        <v>0.2</v>
      </c>
      <c r="V12" s="13">
        <f t="shared" si="5"/>
        <v>0.17008434654058505</v>
      </c>
      <c r="W12" s="23">
        <v>197314</v>
      </c>
      <c r="Y12" s="5">
        <v>0.2</v>
      </c>
      <c r="Z12" s="16">
        <f t="shared" si="8"/>
        <v>0.183435968376507</v>
      </c>
      <c r="AA12" s="23">
        <v>197314</v>
      </c>
      <c r="AC12" s="8">
        <v>0.2</v>
      </c>
      <c r="AD12" s="13">
        <f t="shared" si="6"/>
        <v>0.17777900361761151</v>
      </c>
      <c r="AE12" s="23">
        <v>199814</v>
      </c>
      <c r="AG12" s="5">
        <v>0.2</v>
      </c>
      <c r="AH12" s="16">
        <f t="shared" si="7"/>
        <v>0.16665943803505776</v>
      </c>
      <c r="AI12" s="23">
        <v>199814</v>
      </c>
    </row>
    <row r="13" spans="1:35" ht="15" thickBot="1" x14ac:dyDescent="0.35">
      <c r="E13" s="9">
        <v>43</v>
      </c>
      <c r="F13" s="30">
        <f t="shared" si="1"/>
        <v>1.1919965180447317E-3</v>
      </c>
      <c r="G13" s="32">
        <v>1331</v>
      </c>
      <c r="I13" s="5">
        <v>10</v>
      </c>
      <c r="J13" s="16">
        <f t="shared" si="2"/>
        <v>7.5477997719676495E-3</v>
      </c>
      <c r="K13" s="20">
        <v>8500</v>
      </c>
      <c r="M13" s="5">
        <v>5.2</v>
      </c>
      <c r="N13" s="16">
        <f t="shared" si="3"/>
        <v>1.9208200714806452E-2</v>
      </c>
      <c r="O13" s="36">
        <v>21605</v>
      </c>
      <c r="Q13" s="5">
        <v>2</v>
      </c>
      <c r="R13" s="16">
        <f t="shared" si="4"/>
        <v>4.6465477415155484E-2</v>
      </c>
      <c r="S13" s="23">
        <v>54111</v>
      </c>
      <c r="U13" s="8">
        <v>1</v>
      </c>
      <c r="V13" s="13">
        <f t="shared" si="5"/>
        <v>7.5235217805438348E-2</v>
      </c>
      <c r="W13" s="23">
        <v>87280</v>
      </c>
      <c r="Y13" s="5">
        <v>0.3</v>
      </c>
      <c r="Z13" s="16">
        <f t="shared" si="8"/>
        <v>0.14148761314026045</v>
      </c>
      <c r="AA13" s="23">
        <v>152192</v>
      </c>
      <c r="AC13" s="8">
        <v>0.2</v>
      </c>
      <c r="AD13" s="13">
        <f t="shared" si="6"/>
        <v>0.17769003137161393</v>
      </c>
      <c r="AE13" s="23">
        <v>199714</v>
      </c>
      <c r="AG13" s="5">
        <v>0.2</v>
      </c>
      <c r="AH13" s="16">
        <f t="shared" si="7"/>
        <v>0.16665943803505776</v>
      </c>
      <c r="AI13" s="23">
        <v>199814</v>
      </c>
    </row>
    <row r="14" spans="1:35" ht="15" thickBot="1" x14ac:dyDescent="0.35">
      <c r="A14" t="s">
        <v>4</v>
      </c>
      <c r="B14" s="1">
        <f>SUMPRODUCT(A4:A12,C4:C12)/SUM(C4:C12)</f>
        <v>0.99002678046847603</v>
      </c>
      <c r="C14" s="1"/>
      <c r="I14" s="6">
        <v>76</v>
      </c>
      <c r="J14" s="17">
        <f t="shared" si="2"/>
        <v>1.5095599543935299E-3</v>
      </c>
      <c r="K14" s="21">
        <v>1700</v>
      </c>
      <c r="M14" s="5">
        <v>14</v>
      </c>
      <c r="N14" s="16">
        <f t="shared" si="3"/>
        <v>2.7249773288998739E-3</v>
      </c>
      <c r="O14" s="36">
        <v>3065</v>
      </c>
      <c r="Q14" s="5">
        <v>8.1</v>
      </c>
      <c r="R14" s="16">
        <f t="shared" si="4"/>
        <v>1.3387237214286819E-2</v>
      </c>
      <c r="S14" s="23">
        <v>15590</v>
      </c>
      <c r="U14" s="8">
        <v>4</v>
      </c>
      <c r="V14" s="13">
        <f t="shared" si="5"/>
        <v>2.9921687448010725E-2</v>
      </c>
      <c r="W14" s="23">
        <v>34712</v>
      </c>
      <c r="Y14" s="5">
        <v>1.9</v>
      </c>
      <c r="Z14" s="16">
        <f t="shared" si="8"/>
        <v>5.5869162631919496E-2</v>
      </c>
      <c r="AA14" s="23">
        <v>60096</v>
      </c>
      <c r="AC14" s="8">
        <v>0.5</v>
      </c>
      <c r="AD14" s="13">
        <f t="shared" si="6"/>
        <v>9.6661227496694688E-2</v>
      </c>
      <c r="AE14" s="23">
        <v>108642</v>
      </c>
      <c r="AG14" s="5">
        <v>0.2</v>
      </c>
      <c r="AH14" s="16">
        <f t="shared" si="7"/>
        <v>0.16665943803505776</v>
      </c>
      <c r="AI14" s="23">
        <v>199814</v>
      </c>
    </row>
    <row r="15" spans="1:35" ht="15" thickBot="1" x14ac:dyDescent="0.35">
      <c r="E15" t="s">
        <v>4</v>
      </c>
      <c r="F15" s="1">
        <f>SUMPRODUCT(E4:E13,G4:G13)/SUM(G4:G13)</f>
        <v>0.98999152795863199</v>
      </c>
      <c r="M15" s="6">
        <v>120</v>
      </c>
      <c r="N15" s="17">
        <f t="shared" si="3"/>
        <v>1.218015967566991E-3</v>
      </c>
      <c r="O15" s="37">
        <v>1370</v>
      </c>
      <c r="Q15" s="5">
        <v>24</v>
      </c>
      <c r="R15" s="16">
        <f t="shared" si="4"/>
        <v>2.0179607090169355E-3</v>
      </c>
      <c r="S15" s="23">
        <v>2350</v>
      </c>
      <c r="U15" s="8">
        <v>11</v>
      </c>
      <c r="V15" s="13">
        <f t="shared" si="5"/>
        <v>7.8614251419064814E-3</v>
      </c>
      <c r="W15" s="23">
        <v>9120</v>
      </c>
      <c r="Y15" s="5">
        <v>5</v>
      </c>
      <c r="Z15" s="16">
        <f t="shared" si="8"/>
        <v>2.0635779468528972E-2</v>
      </c>
      <c r="AA15" s="23">
        <v>22197</v>
      </c>
      <c r="AC15" s="8">
        <v>3</v>
      </c>
      <c r="AD15" s="13">
        <f t="shared" si="6"/>
        <v>3.2613666492874213E-2</v>
      </c>
      <c r="AE15" s="23">
        <v>36656</v>
      </c>
      <c r="AG15" s="5">
        <v>2</v>
      </c>
      <c r="AH15" s="16">
        <f t="shared" si="7"/>
        <v>4.9335410730848017E-2</v>
      </c>
      <c r="AI15" s="23">
        <v>59150</v>
      </c>
    </row>
    <row r="16" spans="1:35" ht="15" thickBot="1" x14ac:dyDescent="0.35">
      <c r="B16" s="25"/>
      <c r="I16" t="s">
        <v>4</v>
      </c>
      <c r="J16" s="1">
        <f>SUMPRODUCT(I4:I14,J4:J14)</f>
        <v>0.9900067131019149</v>
      </c>
      <c r="K16" s="1"/>
      <c r="Q16" s="6">
        <v>170</v>
      </c>
      <c r="R16" s="17">
        <f t="shared" si="4"/>
        <v>6.225623463988418E-4</v>
      </c>
      <c r="S16" s="24">
        <v>725</v>
      </c>
      <c r="U16" s="8">
        <v>37</v>
      </c>
      <c r="V16" s="13">
        <f t="shared" si="5"/>
        <v>1.0818079553829643E-3</v>
      </c>
      <c r="W16" s="23">
        <v>1255</v>
      </c>
      <c r="Y16" s="5">
        <v>18</v>
      </c>
      <c r="Z16" s="16">
        <f t="shared" si="8"/>
        <v>4.9783573930699031E-3</v>
      </c>
      <c r="AA16" s="23">
        <v>5355</v>
      </c>
      <c r="AC16" s="8">
        <v>8</v>
      </c>
      <c r="AD16" s="13">
        <f t="shared" si="6"/>
        <v>1.2175851864769304E-2</v>
      </c>
      <c r="AE16" s="23">
        <v>13685</v>
      </c>
      <c r="AG16" s="5">
        <v>4</v>
      </c>
      <c r="AH16" s="16">
        <f t="shared" si="7"/>
        <v>2.5080571440010142E-2</v>
      </c>
      <c r="AI16" s="23">
        <v>30070</v>
      </c>
    </row>
    <row r="17" spans="2:35" ht="15" thickBot="1" x14ac:dyDescent="0.35">
      <c r="F17" s="28"/>
      <c r="M17" t="s">
        <v>4</v>
      </c>
      <c r="N17" s="1">
        <f>SUMPRODUCT(M4:M15,O4:O15)/SUM(O4:O15)</f>
        <v>0.99001618094205102</v>
      </c>
      <c r="O17" s="1"/>
      <c r="U17" s="9">
        <v>260</v>
      </c>
      <c r="V17" s="14">
        <f t="shared" si="5"/>
        <v>3.7065929945392402E-4</v>
      </c>
      <c r="W17" s="24">
        <v>430</v>
      </c>
      <c r="Y17" s="5">
        <v>56</v>
      </c>
      <c r="Z17" s="16">
        <f t="shared" si="8"/>
        <v>6.0614174048208725E-4</v>
      </c>
      <c r="AA17" s="23">
        <v>652</v>
      </c>
      <c r="AC17" s="8">
        <v>27</v>
      </c>
      <c r="AD17" s="13">
        <f t="shared" si="6"/>
        <v>2.5819745788498738E-3</v>
      </c>
      <c r="AE17" s="23">
        <v>2902</v>
      </c>
      <c r="AG17" s="5">
        <v>9</v>
      </c>
      <c r="AH17" s="16">
        <f t="shared" si="7"/>
        <v>7.1897082079443774E-3</v>
      </c>
      <c r="AI17" s="23">
        <v>8620</v>
      </c>
    </row>
    <row r="18" spans="2:35" ht="15" thickBot="1" x14ac:dyDescent="0.35">
      <c r="J18" s="28"/>
      <c r="Q18" t="s">
        <v>4</v>
      </c>
      <c r="R18" s="1">
        <f>SUMPRODUCT(Q4:Q16,S4:S16)/SUM(S4:S16)</f>
        <v>0.99004587211109607</v>
      </c>
      <c r="S18" s="1"/>
      <c r="Y18" s="6">
        <v>420</v>
      </c>
      <c r="Z18" s="17">
        <f t="shared" si="8"/>
        <v>1.5339476561279815E-4</v>
      </c>
      <c r="AA18" s="24">
        <v>165</v>
      </c>
      <c r="AC18" s="8">
        <v>83</v>
      </c>
      <c r="AD18" s="13">
        <f t="shared" si="6"/>
        <v>3.6923482088997158E-4</v>
      </c>
      <c r="AE18" s="23">
        <v>415</v>
      </c>
      <c r="AG18" s="5">
        <v>26</v>
      </c>
      <c r="AH18" s="16">
        <f t="shared" si="7"/>
        <v>1.2744633575103258E-3</v>
      </c>
      <c r="AI18" s="23">
        <v>1528</v>
      </c>
    </row>
    <row r="19" spans="2:35" ht="15" thickBot="1" x14ac:dyDescent="0.35">
      <c r="F19" s="27"/>
      <c r="N19" s="28"/>
      <c r="U19" t="s">
        <v>4</v>
      </c>
      <c r="V19" s="1">
        <f>SUMPRODUCT(U4:U17,V4:V17)</f>
        <v>0.98996220137143942</v>
      </c>
      <c r="W19" s="1"/>
      <c r="AC19" s="9">
        <v>620</v>
      </c>
      <c r="AD19" s="14">
        <f t="shared" si="6"/>
        <v>1.290097566964961E-4</v>
      </c>
      <c r="AE19" s="24">
        <v>145</v>
      </c>
      <c r="AG19" s="5">
        <v>130</v>
      </c>
      <c r="AH19" s="16">
        <f t="shared" si="7"/>
        <v>1.7098493998011569E-4</v>
      </c>
      <c r="AI19" s="23">
        <v>205</v>
      </c>
    </row>
    <row r="20" spans="2:35" ht="15" thickBot="1" x14ac:dyDescent="0.35">
      <c r="B20" s="26"/>
      <c r="Y20" t="s">
        <v>4</v>
      </c>
      <c r="Z20" s="1">
        <f>SUMPRODUCT(Y4:Y18,Z4:Z18)</f>
        <v>0.99002134511405115</v>
      </c>
      <c r="AA20" s="1"/>
      <c r="AG20" s="6">
        <v>1000</v>
      </c>
      <c r="AH20" s="17">
        <f t="shared" si="7"/>
        <v>9.1748016574696236E-5</v>
      </c>
      <c r="AI20" s="24">
        <v>110</v>
      </c>
    </row>
    <row r="21" spans="2:35" x14ac:dyDescent="0.3">
      <c r="V21" s="28"/>
      <c r="AC21" t="s">
        <v>4</v>
      </c>
      <c r="AD21" s="1">
        <f>SUMPRODUCT(AC4:AC19,AD4:AD19)</f>
        <v>0.99003617611522277</v>
      </c>
      <c r="AE21" s="1"/>
    </row>
    <row r="22" spans="2:35" x14ac:dyDescent="0.3">
      <c r="AG22" t="s">
        <v>4</v>
      </c>
      <c r="AH22" s="1">
        <f>SUMPRODUCT(AG4:AG20,AH4:AH20)</f>
        <v>0.98995275811219274</v>
      </c>
    </row>
    <row r="23" spans="2:35" x14ac:dyDescent="0.3">
      <c r="AD23" s="28"/>
    </row>
    <row r="24" spans="2:35" x14ac:dyDescent="0.3">
      <c r="AH24" s="2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Low</vt:lpstr>
      <vt:lpstr>Medium</vt:lpstr>
      <vt:lpstr>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C Rim93</dc:creator>
  <cp:lastModifiedBy>Rimziiii</cp:lastModifiedBy>
  <dcterms:created xsi:type="dcterms:W3CDTF">2023-05-23T07:30:42Z</dcterms:created>
  <dcterms:modified xsi:type="dcterms:W3CDTF">2023-09-05T18:36:41Z</dcterms:modified>
</cp:coreProperties>
</file>