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ghyac35/Documents/gitProject/pixentech/Probably_Fair_Games/shabby/gameBe-microservices/maths/"/>
    </mc:Choice>
  </mc:AlternateContent>
  <xr:revisionPtr revIDLastSave="0" documentId="13_ncr:1_{308F4552-3CD1-E24E-9200-1D9B0DD53758}" xr6:coauthVersionLast="47" xr6:coauthVersionMax="47" xr10:uidLastSave="{00000000-0000-0000-0000-000000000000}"/>
  <bookViews>
    <workbookView xWindow="41460" yWindow="4480" windowWidth="28080" windowHeight="15560" activeTab="3" xr2:uid="{270256DC-D700-47BB-BD4A-DB58275FF1D6}"/>
  </bookViews>
  <sheets>
    <sheet name="Mine_93" sheetId="1" r:id="rId1"/>
    <sheet name="Mine_95" sheetId="2" r:id="rId2"/>
    <sheet name="Mine_97" sheetId="3" r:id="rId3"/>
    <sheet name="Mine_99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8" i="1" l="1"/>
  <c r="E142" i="4"/>
  <c r="C142" i="4"/>
  <c r="E136" i="4"/>
  <c r="F136" i="4" s="1"/>
  <c r="C136" i="4"/>
  <c r="E130" i="4"/>
  <c r="F130" i="4" s="1"/>
  <c r="G130" i="4" s="1"/>
  <c r="C130" i="4"/>
  <c r="E124" i="4"/>
  <c r="C124" i="4"/>
  <c r="E118" i="4"/>
  <c r="F118" i="4" s="1"/>
  <c r="G118" i="4" s="1"/>
  <c r="H118" i="4" s="1"/>
  <c r="I118" i="4" s="1"/>
  <c r="C118" i="4"/>
  <c r="D119" i="4" s="1"/>
  <c r="D120" i="4" s="1"/>
  <c r="D121" i="4" s="1"/>
  <c r="E112" i="4"/>
  <c r="F112" i="4" s="1"/>
  <c r="G112" i="4" s="1"/>
  <c r="C112" i="4"/>
  <c r="E113" i="4" s="1"/>
  <c r="E114" i="4" s="1"/>
  <c r="E115" i="4" s="1"/>
  <c r="E106" i="4"/>
  <c r="F106" i="4" s="1"/>
  <c r="G106" i="4" s="1"/>
  <c r="H106" i="4" s="1"/>
  <c r="C106" i="4"/>
  <c r="E100" i="4"/>
  <c r="F100" i="4" s="1"/>
  <c r="G100" i="4" s="1"/>
  <c r="H100" i="4" s="1"/>
  <c r="I100" i="4" s="1"/>
  <c r="J100" i="4" s="1"/>
  <c r="C100" i="4"/>
  <c r="H101" i="4" s="1"/>
  <c r="H102" i="4" s="1"/>
  <c r="H103" i="4" s="1"/>
  <c r="E94" i="4"/>
  <c r="F94" i="4" s="1"/>
  <c r="G94" i="4" s="1"/>
  <c r="H94" i="4" s="1"/>
  <c r="I94" i="4" s="1"/>
  <c r="J94" i="4" s="1"/>
  <c r="K94" i="4" s="1"/>
  <c r="L94" i="4" s="1"/>
  <c r="M94" i="4" s="1"/>
  <c r="C94" i="4"/>
  <c r="D95" i="4" s="1"/>
  <c r="D96" i="4" s="1"/>
  <c r="D97" i="4" s="1"/>
  <c r="E88" i="4"/>
  <c r="F88" i="4" s="1"/>
  <c r="G88" i="4" s="1"/>
  <c r="H88" i="4" s="1"/>
  <c r="I88" i="4" s="1"/>
  <c r="J88" i="4" s="1"/>
  <c r="C88" i="4"/>
  <c r="F89" i="4" s="1"/>
  <c r="F90" i="4" s="1"/>
  <c r="F91" i="4" s="1"/>
  <c r="E82" i="4"/>
  <c r="F82" i="4" s="1"/>
  <c r="G82" i="4" s="1"/>
  <c r="H82" i="4" s="1"/>
  <c r="I82" i="4" s="1"/>
  <c r="J82" i="4" s="1"/>
  <c r="K82" i="4" s="1"/>
  <c r="L82" i="4" s="1"/>
  <c r="M82" i="4" s="1"/>
  <c r="N82" i="4" s="1"/>
  <c r="O82" i="4" s="1"/>
  <c r="C82" i="4"/>
  <c r="E76" i="4"/>
  <c r="F76" i="4" s="1"/>
  <c r="C76" i="4"/>
  <c r="E70" i="4"/>
  <c r="F70" i="4" s="1"/>
  <c r="G70" i="4" s="1"/>
  <c r="H70" i="4" s="1"/>
  <c r="I70" i="4" s="1"/>
  <c r="J70" i="4" s="1"/>
  <c r="K70" i="4" s="1"/>
  <c r="L70" i="4" s="1"/>
  <c r="M70" i="4" s="1"/>
  <c r="N70" i="4" s="1"/>
  <c r="O70" i="4" s="1"/>
  <c r="P70" i="4" s="1"/>
  <c r="Q70" i="4" s="1"/>
  <c r="C70" i="4"/>
  <c r="E64" i="4"/>
  <c r="F64" i="4" s="1"/>
  <c r="G64" i="4" s="1"/>
  <c r="H64" i="4" s="1"/>
  <c r="I64" i="4" s="1"/>
  <c r="J64" i="4" s="1"/>
  <c r="K64" i="4" s="1"/>
  <c r="L64" i="4" s="1"/>
  <c r="M64" i="4" s="1"/>
  <c r="N64" i="4" s="1"/>
  <c r="O64" i="4" s="1"/>
  <c r="P64" i="4" s="1"/>
  <c r="Q64" i="4" s="1"/>
  <c r="R64" i="4" s="1"/>
  <c r="R65" i="4" s="1"/>
  <c r="C64" i="4"/>
  <c r="E65" i="4" s="1"/>
  <c r="E66" i="4" s="1"/>
  <c r="E67" i="4" s="1"/>
  <c r="E58" i="4"/>
  <c r="F58" i="4" s="1"/>
  <c r="G58" i="4" s="1"/>
  <c r="C58" i="4"/>
  <c r="E52" i="4"/>
  <c r="F52" i="4" s="1"/>
  <c r="G52" i="4" s="1"/>
  <c r="H52" i="4" s="1"/>
  <c r="I52" i="4" s="1"/>
  <c r="J52" i="4" s="1"/>
  <c r="K52" i="4" s="1"/>
  <c r="C52" i="4"/>
  <c r="E46" i="4"/>
  <c r="F46" i="4" s="1"/>
  <c r="G46" i="4" s="1"/>
  <c r="H46" i="4" s="1"/>
  <c r="I46" i="4" s="1"/>
  <c r="J46" i="4" s="1"/>
  <c r="K46" i="4" s="1"/>
  <c r="C46" i="4"/>
  <c r="E40" i="4"/>
  <c r="F40" i="4" s="1"/>
  <c r="G40" i="4" s="1"/>
  <c r="C40" i="4"/>
  <c r="E34" i="4"/>
  <c r="F34" i="4" s="1"/>
  <c r="G34" i="4" s="1"/>
  <c r="C34" i="4"/>
  <c r="D35" i="4" s="1"/>
  <c r="D36" i="4" s="1"/>
  <c r="D37" i="4" s="1"/>
  <c r="E28" i="4"/>
  <c r="F28" i="4" s="1"/>
  <c r="G28" i="4" s="1"/>
  <c r="H28" i="4" s="1"/>
  <c r="I28" i="4" s="1"/>
  <c r="J28" i="4" s="1"/>
  <c r="K28" i="4" s="1"/>
  <c r="L28" i="4" s="1"/>
  <c r="M28" i="4" s="1"/>
  <c r="N28" i="4" s="1"/>
  <c r="C28" i="4"/>
  <c r="E22" i="4"/>
  <c r="F22" i="4" s="1"/>
  <c r="G22" i="4" s="1"/>
  <c r="C22" i="4"/>
  <c r="D23" i="4" s="1"/>
  <c r="D24" i="4" s="1"/>
  <c r="D25" i="4" s="1"/>
  <c r="E16" i="4"/>
  <c r="F16" i="4" s="1"/>
  <c r="G16" i="4" s="1"/>
  <c r="C16" i="4"/>
  <c r="D17" i="4" s="1"/>
  <c r="D18" i="4" s="1"/>
  <c r="D19" i="4" s="1"/>
  <c r="F10" i="4"/>
  <c r="G10" i="4" s="1"/>
  <c r="E10" i="4"/>
  <c r="C10" i="4"/>
  <c r="E4" i="4"/>
  <c r="C4" i="4"/>
  <c r="D5" i="4" s="1"/>
  <c r="D6" i="4" s="1"/>
  <c r="D7" i="4" s="1"/>
  <c r="E142" i="3"/>
  <c r="C142" i="3"/>
  <c r="E136" i="3"/>
  <c r="F136" i="3" s="1"/>
  <c r="C136" i="3"/>
  <c r="E130" i="3"/>
  <c r="F130" i="3" s="1"/>
  <c r="C130" i="3"/>
  <c r="D131" i="3" s="1"/>
  <c r="D132" i="3" s="1"/>
  <c r="D133" i="3" s="1"/>
  <c r="E124" i="3"/>
  <c r="F124" i="3" s="1"/>
  <c r="C124" i="3"/>
  <c r="E125" i="3" s="1"/>
  <c r="E126" i="3" s="1"/>
  <c r="E127" i="3" s="1"/>
  <c r="E118" i="3"/>
  <c r="F118" i="3" s="1"/>
  <c r="G118" i="3" s="1"/>
  <c r="C118" i="3"/>
  <c r="E112" i="3"/>
  <c r="F112" i="3" s="1"/>
  <c r="G112" i="3" s="1"/>
  <c r="C112" i="3"/>
  <c r="E106" i="3"/>
  <c r="F106" i="3" s="1"/>
  <c r="G106" i="3" s="1"/>
  <c r="H106" i="3" s="1"/>
  <c r="I106" i="3" s="1"/>
  <c r="J106" i="3" s="1"/>
  <c r="K106" i="3" s="1"/>
  <c r="C106" i="3"/>
  <c r="D107" i="3" s="1"/>
  <c r="D108" i="3" s="1"/>
  <c r="D109" i="3" s="1"/>
  <c r="E100" i="3"/>
  <c r="C100" i="3"/>
  <c r="D101" i="3" s="1"/>
  <c r="D102" i="3" s="1"/>
  <c r="D103" i="3" s="1"/>
  <c r="E94" i="3"/>
  <c r="F94" i="3" s="1"/>
  <c r="G94" i="3" s="1"/>
  <c r="C94" i="3"/>
  <c r="E88" i="3"/>
  <c r="F88" i="3" s="1"/>
  <c r="G88" i="3" s="1"/>
  <c r="H88" i="3" s="1"/>
  <c r="I88" i="3" s="1"/>
  <c r="J88" i="3" s="1"/>
  <c r="K88" i="3" s="1"/>
  <c r="L88" i="3" s="1"/>
  <c r="M88" i="3" s="1"/>
  <c r="N88" i="3" s="1"/>
  <c r="C88" i="3"/>
  <c r="G89" i="3" s="1"/>
  <c r="G90" i="3" s="1"/>
  <c r="G91" i="3" s="1"/>
  <c r="E82" i="3"/>
  <c r="F82" i="3" s="1"/>
  <c r="G82" i="3" s="1"/>
  <c r="H82" i="3" s="1"/>
  <c r="I82" i="3" s="1"/>
  <c r="J82" i="3" s="1"/>
  <c r="K82" i="3" s="1"/>
  <c r="L82" i="3" s="1"/>
  <c r="C82" i="3"/>
  <c r="E83" i="3" s="1"/>
  <c r="E84" i="3" s="1"/>
  <c r="E85" i="3" s="1"/>
  <c r="E76" i="3"/>
  <c r="F76" i="3" s="1"/>
  <c r="G76" i="3" s="1"/>
  <c r="H76" i="3" s="1"/>
  <c r="I76" i="3" s="1"/>
  <c r="J76" i="3" s="1"/>
  <c r="K76" i="3" s="1"/>
  <c r="L76" i="3" s="1"/>
  <c r="C76" i="3"/>
  <c r="E70" i="3"/>
  <c r="F70" i="3" s="1"/>
  <c r="G70" i="3" s="1"/>
  <c r="H70" i="3" s="1"/>
  <c r="C70" i="3"/>
  <c r="E64" i="3"/>
  <c r="F64" i="3" s="1"/>
  <c r="G64" i="3" s="1"/>
  <c r="C64" i="3"/>
  <c r="E58" i="3"/>
  <c r="F58" i="3" s="1"/>
  <c r="G58" i="3" s="1"/>
  <c r="H58" i="3" s="1"/>
  <c r="I58" i="3" s="1"/>
  <c r="J58" i="3" s="1"/>
  <c r="K58" i="3" s="1"/>
  <c r="L58" i="3" s="1"/>
  <c r="M58" i="3" s="1"/>
  <c r="C58" i="3"/>
  <c r="E52" i="3"/>
  <c r="F52" i="3" s="1"/>
  <c r="C52" i="3"/>
  <c r="E53" i="3" s="1"/>
  <c r="E54" i="3" s="1"/>
  <c r="E55" i="3" s="1"/>
  <c r="E46" i="3"/>
  <c r="F46" i="3" s="1"/>
  <c r="G46" i="3" s="1"/>
  <c r="H46" i="3" s="1"/>
  <c r="C46" i="3"/>
  <c r="E40" i="3"/>
  <c r="F40" i="3" s="1"/>
  <c r="G40" i="3" s="1"/>
  <c r="H40" i="3" s="1"/>
  <c r="I40" i="3" s="1"/>
  <c r="J40" i="3" s="1"/>
  <c r="K40" i="3" s="1"/>
  <c r="L40" i="3" s="1"/>
  <c r="M40" i="3" s="1"/>
  <c r="N40" i="3" s="1"/>
  <c r="O40" i="3" s="1"/>
  <c r="P40" i="3" s="1"/>
  <c r="Q40" i="3" s="1"/>
  <c r="C40" i="3"/>
  <c r="E34" i="3"/>
  <c r="F34" i="3" s="1"/>
  <c r="G34" i="3" s="1"/>
  <c r="C34" i="3"/>
  <c r="E28" i="3"/>
  <c r="F28" i="3" s="1"/>
  <c r="G28" i="3" s="1"/>
  <c r="H28" i="3" s="1"/>
  <c r="I28" i="3" s="1"/>
  <c r="J28" i="3" s="1"/>
  <c r="K28" i="3" s="1"/>
  <c r="L28" i="3" s="1"/>
  <c r="C28" i="3"/>
  <c r="E29" i="3" s="1"/>
  <c r="E30" i="3" s="1"/>
  <c r="E31" i="3" s="1"/>
  <c r="E22" i="3"/>
  <c r="F22" i="3" s="1"/>
  <c r="G22" i="3" s="1"/>
  <c r="H22" i="3" s="1"/>
  <c r="C22" i="3"/>
  <c r="E16" i="3"/>
  <c r="F16" i="3" s="1"/>
  <c r="G16" i="3" s="1"/>
  <c r="H16" i="3" s="1"/>
  <c r="C16" i="3"/>
  <c r="E10" i="3"/>
  <c r="F10" i="3" s="1"/>
  <c r="G10" i="3" s="1"/>
  <c r="H10" i="3" s="1"/>
  <c r="I10" i="3" s="1"/>
  <c r="J10" i="3" s="1"/>
  <c r="K10" i="3" s="1"/>
  <c r="L10" i="3" s="1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W10" i="3" s="1"/>
  <c r="X10" i="3" s="1"/>
  <c r="Y10" i="3" s="1"/>
  <c r="Z10" i="3" s="1"/>
  <c r="AA10" i="3" s="1"/>
  <c r="C10" i="3"/>
  <c r="E11" i="3" s="1"/>
  <c r="E12" i="3" s="1"/>
  <c r="E13" i="3" s="1"/>
  <c r="E4" i="3"/>
  <c r="F4" i="3" s="1"/>
  <c r="G4" i="3" s="1"/>
  <c r="H4" i="3" s="1"/>
  <c r="C4" i="3"/>
  <c r="D5" i="3" s="1"/>
  <c r="D6" i="3" s="1"/>
  <c r="D7" i="3" s="1"/>
  <c r="E142" i="2"/>
  <c r="C142" i="2"/>
  <c r="E136" i="2"/>
  <c r="F136" i="2" s="1"/>
  <c r="C136" i="2"/>
  <c r="E130" i="2"/>
  <c r="F130" i="2" s="1"/>
  <c r="G130" i="2" s="1"/>
  <c r="C130" i="2"/>
  <c r="E124" i="2"/>
  <c r="F124" i="2" s="1"/>
  <c r="G124" i="2" s="1"/>
  <c r="H124" i="2" s="1"/>
  <c r="C124" i="2"/>
  <c r="D125" i="2" s="1"/>
  <c r="D126" i="2" s="1"/>
  <c r="D127" i="2" s="1"/>
  <c r="E118" i="2"/>
  <c r="F118" i="2" s="1"/>
  <c r="G118" i="2" s="1"/>
  <c r="H118" i="2" s="1"/>
  <c r="C118" i="2"/>
  <c r="E112" i="2"/>
  <c r="F112" i="2" s="1"/>
  <c r="G112" i="2" s="1"/>
  <c r="H112" i="2" s="1"/>
  <c r="I112" i="2" s="1"/>
  <c r="C112" i="2"/>
  <c r="D113" i="2" s="1"/>
  <c r="D114" i="2" s="1"/>
  <c r="D115" i="2" s="1"/>
  <c r="E106" i="2"/>
  <c r="F106" i="2" s="1"/>
  <c r="G106" i="2" s="1"/>
  <c r="H106" i="2" s="1"/>
  <c r="C106" i="2"/>
  <c r="E100" i="2"/>
  <c r="F100" i="2" s="1"/>
  <c r="G100" i="2" s="1"/>
  <c r="H100" i="2" s="1"/>
  <c r="C100" i="2"/>
  <c r="E94" i="2"/>
  <c r="F94" i="2" s="1"/>
  <c r="G94" i="2" s="1"/>
  <c r="H94" i="2" s="1"/>
  <c r="I94" i="2" s="1"/>
  <c r="C94" i="2"/>
  <c r="D95" i="2" s="1"/>
  <c r="D96" i="2" s="1"/>
  <c r="D97" i="2" s="1"/>
  <c r="E88" i="2"/>
  <c r="F88" i="2" s="1"/>
  <c r="G88" i="2" s="1"/>
  <c r="H88" i="2" s="1"/>
  <c r="I88" i="2" s="1"/>
  <c r="J88" i="2" s="1"/>
  <c r="K88" i="2" s="1"/>
  <c r="L88" i="2" s="1"/>
  <c r="M88" i="2" s="1"/>
  <c r="N88" i="2" s="1"/>
  <c r="C88" i="2"/>
  <c r="E82" i="2"/>
  <c r="F82" i="2" s="1"/>
  <c r="G82" i="2" s="1"/>
  <c r="H82" i="2" s="1"/>
  <c r="I82" i="2" s="1"/>
  <c r="J82" i="2" s="1"/>
  <c r="K82" i="2" s="1"/>
  <c r="L82" i="2" s="1"/>
  <c r="M82" i="2" s="1"/>
  <c r="N82" i="2" s="1"/>
  <c r="O82" i="2" s="1"/>
  <c r="C82" i="2"/>
  <c r="E83" i="2" s="1"/>
  <c r="E84" i="2" s="1"/>
  <c r="E85" i="2" s="1"/>
  <c r="E76" i="2"/>
  <c r="F76" i="2" s="1"/>
  <c r="G76" i="2" s="1"/>
  <c r="H76" i="2" s="1"/>
  <c r="C76" i="2"/>
  <c r="E77" i="2" s="1"/>
  <c r="E78" i="2" s="1"/>
  <c r="E79" i="2" s="1"/>
  <c r="E70" i="2"/>
  <c r="F70" i="2" s="1"/>
  <c r="G70" i="2" s="1"/>
  <c r="H70" i="2" s="1"/>
  <c r="I70" i="2" s="1"/>
  <c r="C70" i="2"/>
  <c r="D71" i="2" s="1"/>
  <c r="D72" i="2" s="1"/>
  <c r="D73" i="2" s="1"/>
  <c r="E64" i="2"/>
  <c r="F64" i="2" s="1"/>
  <c r="G64" i="2" s="1"/>
  <c r="H64" i="2" s="1"/>
  <c r="I64" i="2" s="1"/>
  <c r="J64" i="2" s="1"/>
  <c r="K64" i="2" s="1"/>
  <c r="L64" i="2" s="1"/>
  <c r="M64" i="2" s="1"/>
  <c r="N64" i="2" s="1"/>
  <c r="O64" i="2" s="1"/>
  <c r="P64" i="2" s="1"/>
  <c r="Q64" i="2" s="1"/>
  <c r="R64" i="2" s="1"/>
  <c r="R65" i="2" s="1"/>
  <c r="C64" i="2"/>
  <c r="E58" i="2"/>
  <c r="F58" i="2" s="1"/>
  <c r="G58" i="2" s="1"/>
  <c r="H58" i="2" s="1"/>
  <c r="I58" i="2" s="1"/>
  <c r="J58" i="2" s="1"/>
  <c r="K58" i="2" s="1"/>
  <c r="L58" i="2" s="1"/>
  <c r="M58" i="2" s="1"/>
  <c r="N58" i="2" s="1"/>
  <c r="C58" i="2"/>
  <c r="E52" i="2"/>
  <c r="F52" i="2" s="1"/>
  <c r="G52" i="2" s="1"/>
  <c r="H52" i="2" s="1"/>
  <c r="I52" i="2" s="1"/>
  <c r="J52" i="2" s="1"/>
  <c r="C52" i="2"/>
  <c r="E46" i="2"/>
  <c r="F46" i="2" s="1"/>
  <c r="C46" i="2"/>
  <c r="E47" i="2" s="1"/>
  <c r="E48" i="2" s="1"/>
  <c r="E49" i="2" s="1"/>
  <c r="E41" i="2"/>
  <c r="E42" i="2" s="1"/>
  <c r="E43" i="2" s="1"/>
  <c r="G40" i="2"/>
  <c r="H40" i="2" s="1"/>
  <c r="I40" i="2" s="1"/>
  <c r="J40" i="2" s="1"/>
  <c r="K40" i="2" s="1"/>
  <c r="L40" i="2" s="1"/>
  <c r="M40" i="2" s="1"/>
  <c r="N40" i="2" s="1"/>
  <c r="N41" i="2" s="1"/>
  <c r="N42" i="2" s="1"/>
  <c r="N43" i="2" s="1"/>
  <c r="F40" i="2"/>
  <c r="E40" i="2"/>
  <c r="C40" i="2"/>
  <c r="E34" i="2"/>
  <c r="F34" i="2" s="1"/>
  <c r="G34" i="2" s="1"/>
  <c r="H34" i="2" s="1"/>
  <c r="I34" i="2" s="1"/>
  <c r="J34" i="2" s="1"/>
  <c r="K34" i="2" s="1"/>
  <c r="L34" i="2" s="1"/>
  <c r="M34" i="2" s="1"/>
  <c r="N34" i="2" s="1"/>
  <c r="O34" i="2" s="1"/>
  <c r="P34" i="2" s="1"/>
  <c r="Q34" i="2" s="1"/>
  <c r="R34" i="2" s="1"/>
  <c r="S34" i="2" s="1"/>
  <c r="T34" i="2" s="1"/>
  <c r="U34" i="2" s="1"/>
  <c r="V34" i="2" s="1"/>
  <c r="W34" i="2" s="1"/>
  <c r="C34" i="2"/>
  <c r="E28" i="2"/>
  <c r="F28" i="2" s="1"/>
  <c r="G28" i="2" s="1"/>
  <c r="H28" i="2" s="1"/>
  <c r="I28" i="2" s="1"/>
  <c r="J28" i="2" s="1"/>
  <c r="C28" i="2"/>
  <c r="E22" i="2"/>
  <c r="F22" i="2" s="1"/>
  <c r="G22" i="2" s="1"/>
  <c r="C22" i="2"/>
  <c r="E16" i="2"/>
  <c r="F16" i="2" s="1"/>
  <c r="G16" i="2" s="1"/>
  <c r="H16" i="2" s="1"/>
  <c r="I16" i="2" s="1"/>
  <c r="J16" i="2" s="1"/>
  <c r="K16" i="2" s="1"/>
  <c r="L16" i="2" s="1"/>
  <c r="M16" i="2" s="1"/>
  <c r="N16" i="2" s="1"/>
  <c r="O16" i="2" s="1"/>
  <c r="P16" i="2" s="1"/>
  <c r="Q16" i="2" s="1"/>
  <c r="R16" i="2" s="1"/>
  <c r="S16" i="2" s="1"/>
  <c r="T16" i="2" s="1"/>
  <c r="C16" i="2"/>
  <c r="D17" i="2" s="1"/>
  <c r="D18" i="2" s="1"/>
  <c r="D19" i="2" s="1"/>
  <c r="E10" i="2"/>
  <c r="F10" i="2" s="1"/>
  <c r="G10" i="2" s="1"/>
  <c r="H10" i="2" s="1"/>
  <c r="C10" i="2"/>
  <c r="E4" i="2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C4" i="2"/>
  <c r="E136" i="1"/>
  <c r="F136" i="1" s="1"/>
  <c r="C136" i="1"/>
  <c r="E130" i="1"/>
  <c r="F130" i="1" s="1"/>
  <c r="G130" i="1" s="1"/>
  <c r="C130" i="1"/>
  <c r="E124" i="1"/>
  <c r="F124" i="1" s="1"/>
  <c r="G124" i="1" s="1"/>
  <c r="H124" i="1" s="1"/>
  <c r="C124" i="1"/>
  <c r="D125" i="1" s="1"/>
  <c r="D126" i="1" s="1"/>
  <c r="D127" i="1" s="1"/>
  <c r="E118" i="1"/>
  <c r="F118" i="1" s="1"/>
  <c r="G118" i="1" s="1"/>
  <c r="H118" i="1" s="1"/>
  <c r="E112" i="1"/>
  <c r="F112" i="1" s="1"/>
  <c r="G112" i="1" s="1"/>
  <c r="H112" i="1" s="1"/>
  <c r="C112" i="1"/>
  <c r="E106" i="1"/>
  <c r="F106" i="1" s="1"/>
  <c r="C106" i="1"/>
  <c r="E107" i="1" s="1"/>
  <c r="E108" i="1" s="1"/>
  <c r="E109" i="1" s="1"/>
  <c r="E100" i="1"/>
  <c r="F100" i="1" s="1"/>
  <c r="C100" i="1"/>
  <c r="D101" i="1" s="1"/>
  <c r="D102" i="1" s="1"/>
  <c r="D103" i="1" s="1"/>
  <c r="E94" i="1"/>
  <c r="F94" i="1" s="1"/>
  <c r="G94" i="1" s="1"/>
  <c r="H94" i="1" s="1"/>
  <c r="I94" i="1" s="1"/>
  <c r="J94" i="1" s="1"/>
  <c r="K94" i="1" s="1"/>
  <c r="C94" i="1"/>
  <c r="E88" i="1"/>
  <c r="F88" i="1" s="1"/>
  <c r="G88" i="1" s="1"/>
  <c r="H88" i="1" s="1"/>
  <c r="C88" i="1"/>
  <c r="E82" i="1"/>
  <c r="F82" i="1" s="1"/>
  <c r="G82" i="1" s="1"/>
  <c r="H82" i="1" s="1"/>
  <c r="I82" i="1" s="1"/>
  <c r="J82" i="1" s="1"/>
  <c r="K82" i="1" s="1"/>
  <c r="L82" i="1" s="1"/>
  <c r="C82" i="1"/>
  <c r="D83" i="1" s="1"/>
  <c r="D84" i="1" s="1"/>
  <c r="D85" i="1" s="1"/>
  <c r="E76" i="1"/>
  <c r="F76" i="1" s="1"/>
  <c r="G76" i="1" s="1"/>
  <c r="H76" i="1" s="1"/>
  <c r="I76" i="1" s="1"/>
  <c r="J76" i="1" s="1"/>
  <c r="K76" i="1" s="1"/>
  <c r="L76" i="1" s="1"/>
  <c r="M76" i="1" s="1"/>
  <c r="N76" i="1" s="1"/>
  <c r="O76" i="1" s="1"/>
  <c r="P76" i="1" s="1"/>
  <c r="C76" i="1"/>
  <c r="D77" i="1" s="1"/>
  <c r="D78" i="1" s="1"/>
  <c r="D79" i="1" s="1"/>
  <c r="E70" i="1"/>
  <c r="F70" i="1" s="1"/>
  <c r="G70" i="1" s="1"/>
  <c r="H70" i="1" s="1"/>
  <c r="C70" i="1"/>
  <c r="E64" i="1"/>
  <c r="F64" i="1" s="1"/>
  <c r="G64" i="1" s="1"/>
  <c r="H64" i="1" s="1"/>
  <c r="I64" i="1" s="1"/>
  <c r="C64" i="1"/>
  <c r="D65" i="1" s="1"/>
  <c r="D66" i="1" s="1"/>
  <c r="D67" i="1" s="1"/>
  <c r="E58" i="1"/>
  <c r="F58" i="1" s="1"/>
  <c r="G58" i="1" s="1"/>
  <c r="H58" i="1" s="1"/>
  <c r="C58" i="1"/>
  <c r="E52" i="1"/>
  <c r="F52" i="1" s="1"/>
  <c r="C52" i="1"/>
  <c r="E46" i="1"/>
  <c r="F46" i="1" s="1"/>
  <c r="G46" i="1" s="1"/>
  <c r="H46" i="1" s="1"/>
  <c r="I46" i="1" s="1"/>
  <c r="C46" i="1"/>
  <c r="E40" i="1"/>
  <c r="F40" i="1" s="1"/>
  <c r="G40" i="1" s="1"/>
  <c r="H40" i="1" s="1"/>
  <c r="I40" i="1" s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U40" i="1" s="1"/>
  <c r="V40" i="1" s="1"/>
  <c r="C40" i="1"/>
  <c r="E34" i="1"/>
  <c r="F34" i="1" s="1"/>
  <c r="C34" i="1"/>
  <c r="E28" i="1"/>
  <c r="F28" i="1" s="1"/>
  <c r="C28" i="1"/>
  <c r="E22" i="1"/>
  <c r="F22" i="1" s="1"/>
  <c r="G22" i="1" s="1"/>
  <c r="H22" i="1" s="1"/>
  <c r="I22" i="1" s="1"/>
  <c r="J22" i="1" s="1"/>
  <c r="C22" i="1"/>
  <c r="E16" i="1"/>
  <c r="F16" i="1" s="1"/>
  <c r="C16" i="1"/>
  <c r="E10" i="1"/>
  <c r="F10" i="1" s="1"/>
  <c r="G10" i="1" s="1"/>
  <c r="C10" i="1"/>
  <c r="E4" i="1"/>
  <c r="F4" i="1" s="1"/>
  <c r="G4" i="1" s="1"/>
  <c r="H4" i="1" s="1"/>
  <c r="C4" i="1"/>
  <c r="F113" i="4" l="1"/>
  <c r="F114" i="4" s="1"/>
  <c r="F115" i="4" s="1"/>
  <c r="E41" i="4"/>
  <c r="E42" i="4" s="1"/>
  <c r="E43" i="4" s="1"/>
  <c r="E23" i="2"/>
  <c r="E24" i="2" s="1"/>
  <c r="E25" i="2" s="1"/>
  <c r="E131" i="3"/>
  <c r="E132" i="3" s="1"/>
  <c r="E133" i="3" s="1"/>
  <c r="E5" i="3"/>
  <c r="E6" i="3" s="1"/>
  <c r="E7" i="3" s="1"/>
  <c r="E131" i="1"/>
  <c r="E132" i="1" s="1"/>
  <c r="E133" i="1" s="1"/>
  <c r="F59" i="2"/>
  <c r="F60" i="2" s="1"/>
  <c r="F61" i="2" s="1"/>
  <c r="G65" i="3"/>
  <c r="G66" i="3" s="1"/>
  <c r="G67" i="3" s="1"/>
  <c r="H64" i="3"/>
  <c r="I64" i="3" s="1"/>
  <c r="J64" i="3" s="1"/>
  <c r="F47" i="2"/>
  <c r="F48" i="2" s="1"/>
  <c r="F49" i="2" s="1"/>
  <c r="G46" i="2"/>
  <c r="G47" i="2" s="1"/>
  <c r="G48" i="2" s="1"/>
  <c r="G49" i="2" s="1"/>
  <c r="K77" i="3"/>
  <c r="K78" i="3" s="1"/>
  <c r="K79" i="3" s="1"/>
  <c r="F119" i="3"/>
  <c r="F120" i="3" s="1"/>
  <c r="F121" i="3" s="1"/>
  <c r="I5" i="2"/>
  <c r="I6" i="2" s="1"/>
  <c r="I7" i="2" s="1"/>
  <c r="E131" i="2"/>
  <c r="E132" i="2" s="1"/>
  <c r="E133" i="2" s="1"/>
  <c r="F107" i="4"/>
  <c r="F108" i="4" s="1"/>
  <c r="F109" i="4" s="1"/>
  <c r="I29" i="2"/>
  <c r="I30" i="2" s="1"/>
  <c r="I31" i="2" s="1"/>
  <c r="G119" i="2"/>
  <c r="G120" i="2" s="1"/>
  <c r="G121" i="2" s="1"/>
  <c r="D77" i="3"/>
  <c r="D78" i="3" s="1"/>
  <c r="D79" i="3" s="1"/>
  <c r="E77" i="1"/>
  <c r="E78" i="1" s="1"/>
  <c r="E79" i="1" s="1"/>
  <c r="D131" i="1"/>
  <c r="D132" i="1" s="1"/>
  <c r="D133" i="1" s="1"/>
  <c r="E77" i="3"/>
  <c r="E78" i="3" s="1"/>
  <c r="E79" i="3" s="1"/>
  <c r="M11" i="3"/>
  <c r="M12" i="3" s="1"/>
  <c r="M13" i="3" s="1"/>
  <c r="D29" i="3"/>
  <c r="D30" i="3" s="1"/>
  <c r="D31" i="3" s="1"/>
  <c r="H29" i="2"/>
  <c r="H30" i="2" s="1"/>
  <c r="H31" i="2" s="1"/>
  <c r="D125" i="3"/>
  <c r="D126" i="3" s="1"/>
  <c r="D127" i="3" s="1"/>
  <c r="E101" i="2"/>
  <c r="E102" i="2" s="1"/>
  <c r="E103" i="2" s="1"/>
  <c r="E35" i="3"/>
  <c r="E36" i="3" s="1"/>
  <c r="E37" i="3" s="1"/>
  <c r="F113" i="3"/>
  <c r="F114" i="3" s="1"/>
  <c r="F115" i="3" s="1"/>
  <c r="F29" i="4"/>
  <c r="F30" i="4" s="1"/>
  <c r="F31" i="4" s="1"/>
  <c r="K83" i="2"/>
  <c r="K84" i="2" s="1"/>
  <c r="K85" i="2" s="1"/>
  <c r="D53" i="3"/>
  <c r="D54" i="3" s="1"/>
  <c r="D55" i="3" s="1"/>
  <c r="X5" i="2"/>
  <c r="X6" i="2" s="1"/>
  <c r="X7" i="2" s="1"/>
  <c r="F41" i="2"/>
  <c r="F42" i="2" s="1"/>
  <c r="F43" i="2" s="1"/>
  <c r="F11" i="4"/>
  <c r="F12" i="4" s="1"/>
  <c r="F13" i="4" s="1"/>
  <c r="E107" i="2"/>
  <c r="E108" i="2" s="1"/>
  <c r="E109" i="2" s="1"/>
  <c r="F95" i="3"/>
  <c r="F96" i="3" s="1"/>
  <c r="F97" i="3" s="1"/>
  <c r="F95" i="4"/>
  <c r="F96" i="4" s="1"/>
  <c r="F97" i="4" s="1"/>
  <c r="E125" i="2"/>
  <c r="E126" i="2" s="1"/>
  <c r="E127" i="2" s="1"/>
  <c r="D113" i="4"/>
  <c r="D114" i="4" s="1"/>
  <c r="D115" i="4" s="1"/>
  <c r="G41" i="2"/>
  <c r="G42" i="2" s="1"/>
  <c r="G43" i="2" s="1"/>
  <c r="D35" i="3"/>
  <c r="D36" i="3" s="1"/>
  <c r="D37" i="3" s="1"/>
  <c r="D83" i="3"/>
  <c r="D84" i="3" s="1"/>
  <c r="D85" i="3" s="1"/>
  <c r="J95" i="4"/>
  <c r="J96" i="4" s="1"/>
  <c r="J97" i="4" s="1"/>
  <c r="D47" i="2"/>
  <c r="D48" i="2" s="1"/>
  <c r="D49" i="2" s="1"/>
  <c r="D119" i="2"/>
  <c r="D120" i="2" s="1"/>
  <c r="D121" i="2" s="1"/>
  <c r="D89" i="4"/>
  <c r="D90" i="4" s="1"/>
  <c r="D91" i="4" s="1"/>
  <c r="D137" i="4"/>
  <c r="D138" i="4" s="1"/>
  <c r="D139" i="4" s="1"/>
  <c r="D41" i="2"/>
  <c r="D42" i="2" s="1"/>
  <c r="D43" i="2" s="1"/>
  <c r="F77" i="4"/>
  <c r="F78" i="4" s="1"/>
  <c r="F79" i="4" s="1"/>
  <c r="D23" i="2"/>
  <c r="D24" i="2" s="1"/>
  <c r="D25" i="2" s="1"/>
  <c r="F101" i="4"/>
  <c r="F102" i="4" s="1"/>
  <c r="F103" i="4" s="1"/>
  <c r="E125" i="1"/>
  <c r="E126" i="1" s="1"/>
  <c r="E127" i="1" s="1"/>
  <c r="F125" i="1"/>
  <c r="F126" i="1" s="1"/>
  <c r="F127" i="1" s="1"/>
  <c r="E53" i="1"/>
  <c r="E54" i="1" s="1"/>
  <c r="E55" i="1" s="1"/>
  <c r="G83" i="1"/>
  <c r="G84" i="1" s="1"/>
  <c r="G85" i="1" s="1"/>
  <c r="F83" i="1"/>
  <c r="F84" i="1" s="1"/>
  <c r="F85" i="1" s="1"/>
  <c r="H71" i="1"/>
  <c r="H72" i="1" s="1"/>
  <c r="H73" i="1" s="1"/>
  <c r="E83" i="1"/>
  <c r="E84" i="1" s="1"/>
  <c r="E85" i="1" s="1"/>
  <c r="F53" i="1"/>
  <c r="F54" i="1" s="1"/>
  <c r="F55" i="1" s="1"/>
  <c r="D53" i="1"/>
  <c r="D54" i="1" s="1"/>
  <c r="D55" i="1" s="1"/>
  <c r="E59" i="1"/>
  <c r="E60" i="1" s="1"/>
  <c r="E61" i="1" s="1"/>
  <c r="F59" i="1"/>
  <c r="F60" i="1" s="1"/>
  <c r="F61" i="1" s="1"/>
  <c r="K52" i="2"/>
  <c r="J53" i="2"/>
  <c r="J54" i="2" s="1"/>
  <c r="J55" i="2" s="1"/>
  <c r="J23" i="1"/>
  <c r="J24" i="1" s="1"/>
  <c r="J25" i="1" s="1"/>
  <c r="K22" i="1"/>
  <c r="L22" i="1" s="1"/>
  <c r="M22" i="1" s="1"/>
  <c r="N22" i="1" s="1"/>
  <c r="O22" i="1" s="1"/>
  <c r="P22" i="1" s="1"/>
  <c r="Q22" i="1" s="1"/>
  <c r="R22" i="1" s="1"/>
  <c r="I88" i="1"/>
  <c r="J88" i="1" s="1"/>
  <c r="K88" i="1" s="1"/>
  <c r="L88" i="1" s="1"/>
  <c r="M88" i="1" s="1"/>
  <c r="N88" i="1" s="1"/>
  <c r="H89" i="1"/>
  <c r="H90" i="1" s="1"/>
  <c r="H91" i="1" s="1"/>
  <c r="I112" i="1"/>
  <c r="H113" i="1"/>
  <c r="H114" i="1" s="1"/>
  <c r="H115" i="1" s="1"/>
  <c r="I58" i="1"/>
  <c r="J58" i="1" s="1"/>
  <c r="K58" i="1" s="1"/>
  <c r="L58" i="1" s="1"/>
  <c r="M58" i="1" s="1"/>
  <c r="H59" i="1"/>
  <c r="H60" i="1" s="1"/>
  <c r="H61" i="1" s="1"/>
  <c r="G16" i="1"/>
  <c r="H16" i="1" s="1"/>
  <c r="I16" i="1" s="1"/>
  <c r="J16" i="1" s="1"/>
  <c r="F17" i="1"/>
  <c r="F18" i="1" s="1"/>
  <c r="F19" i="1" s="1"/>
  <c r="I47" i="1"/>
  <c r="I48" i="1" s="1"/>
  <c r="I49" i="1" s="1"/>
  <c r="J46" i="1"/>
  <c r="K46" i="1" s="1"/>
  <c r="L46" i="1" s="1"/>
  <c r="M46" i="1" s="1"/>
  <c r="N46" i="1" s="1"/>
  <c r="O46" i="1" s="1"/>
  <c r="P46" i="1" s="1"/>
  <c r="Q46" i="1" s="1"/>
  <c r="G100" i="1"/>
  <c r="F101" i="1"/>
  <c r="F102" i="1" s="1"/>
  <c r="F103" i="1" s="1"/>
  <c r="Z4" i="2"/>
  <c r="AA4" i="2" s="1"/>
  <c r="AB4" i="2" s="1"/>
  <c r="Y5" i="2"/>
  <c r="Y6" i="2" s="1"/>
  <c r="Y7" i="2" s="1"/>
  <c r="U16" i="2"/>
  <c r="T17" i="2"/>
  <c r="T18" i="2" s="1"/>
  <c r="T19" i="2" s="1"/>
  <c r="M82" i="1"/>
  <c r="L83" i="1"/>
  <c r="L84" i="1" s="1"/>
  <c r="L85" i="1" s="1"/>
  <c r="G28" i="1"/>
  <c r="H28" i="1" s="1"/>
  <c r="I28" i="1" s="1"/>
  <c r="J28" i="1" s="1"/>
  <c r="K28" i="1" s="1"/>
  <c r="L28" i="1" s="1"/>
  <c r="M28" i="1" s="1"/>
  <c r="N28" i="1" s="1"/>
  <c r="F29" i="1"/>
  <c r="F30" i="1" s="1"/>
  <c r="F31" i="1" s="1"/>
  <c r="I118" i="1"/>
  <c r="L94" i="1"/>
  <c r="M94" i="1" s="1"/>
  <c r="K95" i="1"/>
  <c r="K96" i="1" s="1"/>
  <c r="K97" i="1" s="1"/>
  <c r="H10" i="1"/>
  <c r="I10" i="1" s="1"/>
  <c r="J10" i="1" s="1"/>
  <c r="K10" i="1" s="1"/>
  <c r="L10" i="1" s="1"/>
  <c r="M10" i="1" s="1"/>
  <c r="N10" i="1" s="1"/>
  <c r="O10" i="1" s="1"/>
  <c r="G11" i="1"/>
  <c r="G12" i="1" s="1"/>
  <c r="G13" i="1" s="1"/>
  <c r="G34" i="1"/>
  <c r="F35" i="1"/>
  <c r="F36" i="1" s="1"/>
  <c r="F37" i="1" s="1"/>
  <c r="J64" i="1"/>
  <c r="I65" i="1"/>
  <c r="I66" i="1" s="1"/>
  <c r="I67" i="1" s="1"/>
  <c r="G106" i="1"/>
  <c r="F107" i="1"/>
  <c r="F108" i="1" s="1"/>
  <c r="F109" i="1" s="1"/>
  <c r="H5" i="1"/>
  <c r="H6" i="1" s="1"/>
  <c r="H7" i="1" s="1"/>
  <c r="I4" i="1"/>
  <c r="J4" i="1" s="1"/>
  <c r="K4" i="1" s="1"/>
  <c r="L4" i="1" s="1"/>
  <c r="M4" i="1" s="1"/>
  <c r="N4" i="1" s="1"/>
  <c r="O4" i="1" s="1"/>
  <c r="P4" i="1" s="1"/>
  <c r="O41" i="1"/>
  <c r="O42" i="1" s="1"/>
  <c r="O43" i="1" s="1"/>
  <c r="H11" i="2"/>
  <c r="H12" i="2" s="1"/>
  <c r="H13" i="2" s="1"/>
  <c r="I10" i="2"/>
  <c r="G59" i="1"/>
  <c r="G60" i="1" s="1"/>
  <c r="G61" i="1" s="1"/>
  <c r="O35" i="2"/>
  <c r="O36" i="2" s="1"/>
  <c r="O37" i="2" s="1"/>
  <c r="G35" i="2"/>
  <c r="G36" i="2" s="1"/>
  <c r="G37" i="2" s="1"/>
  <c r="N35" i="2"/>
  <c r="N36" i="2" s="1"/>
  <c r="N37" i="2" s="1"/>
  <c r="F35" i="2"/>
  <c r="F36" i="2" s="1"/>
  <c r="F37" i="2" s="1"/>
  <c r="U35" i="2"/>
  <c r="U36" i="2" s="1"/>
  <c r="U37" i="2" s="1"/>
  <c r="M35" i="2"/>
  <c r="M36" i="2" s="1"/>
  <c r="M37" i="2" s="1"/>
  <c r="E35" i="2"/>
  <c r="E36" i="2" s="1"/>
  <c r="E37" i="2" s="1"/>
  <c r="T35" i="2"/>
  <c r="T36" i="2" s="1"/>
  <c r="T37" i="2" s="1"/>
  <c r="L35" i="2"/>
  <c r="L36" i="2" s="1"/>
  <c r="L37" i="2" s="1"/>
  <c r="D35" i="2"/>
  <c r="D36" i="2" s="1"/>
  <c r="D37" i="2" s="1"/>
  <c r="S35" i="2"/>
  <c r="S36" i="2" s="1"/>
  <c r="S37" i="2" s="1"/>
  <c r="K35" i="2"/>
  <c r="K36" i="2" s="1"/>
  <c r="K37" i="2" s="1"/>
  <c r="R35" i="2"/>
  <c r="R36" i="2" s="1"/>
  <c r="R37" i="2" s="1"/>
  <c r="J35" i="2"/>
  <c r="J36" i="2" s="1"/>
  <c r="J37" i="2" s="1"/>
  <c r="G5" i="1"/>
  <c r="G6" i="1" s="1"/>
  <c r="G7" i="1" s="1"/>
  <c r="F11" i="1"/>
  <c r="F12" i="1" s="1"/>
  <c r="F13" i="1" s="1"/>
  <c r="N11" i="1"/>
  <c r="N12" i="1" s="1"/>
  <c r="N13" i="1" s="1"/>
  <c r="I23" i="1"/>
  <c r="I24" i="1" s="1"/>
  <c r="I25" i="1" s="1"/>
  <c r="E29" i="1"/>
  <c r="E30" i="1" s="1"/>
  <c r="E31" i="1" s="1"/>
  <c r="E35" i="1"/>
  <c r="E36" i="1" s="1"/>
  <c r="E37" i="1" s="1"/>
  <c r="H41" i="1"/>
  <c r="H42" i="1" s="1"/>
  <c r="H43" i="1" s="1"/>
  <c r="P41" i="1"/>
  <c r="P42" i="1" s="1"/>
  <c r="P43" i="1" s="1"/>
  <c r="H47" i="1"/>
  <c r="H48" i="1" s="1"/>
  <c r="H49" i="1" s="1"/>
  <c r="G95" i="1"/>
  <c r="G96" i="1" s="1"/>
  <c r="G97" i="1" s="1"/>
  <c r="F95" i="1"/>
  <c r="F96" i="1" s="1"/>
  <c r="F97" i="1" s="1"/>
  <c r="E95" i="1"/>
  <c r="E96" i="1" s="1"/>
  <c r="E97" i="1" s="1"/>
  <c r="D95" i="1"/>
  <c r="D96" i="1" s="1"/>
  <c r="D97" i="1" s="1"/>
  <c r="J95" i="1"/>
  <c r="J96" i="1" s="1"/>
  <c r="J97" i="1" s="1"/>
  <c r="E101" i="1"/>
  <c r="E102" i="1" s="1"/>
  <c r="E103" i="1" s="1"/>
  <c r="H5" i="2"/>
  <c r="H6" i="2" s="1"/>
  <c r="H7" i="2" s="1"/>
  <c r="I35" i="2"/>
  <c r="I36" i="2" s="1"/>
  <c r="I37" i="2" s="1"/>
  <c r="M41" i="2"/>
  <c r="M42" i="2" s="1"/>
  <c r="M43" i="2" s="1"/>
  <c r="J41" i="1"/>
  <c r="J42" i="1" s="1"/>
  <c r="J43" i="1" s="1"/>
  <c r="R41" i="1"/>
  <c r="R42" i="1" s="1"/>
  <c r="R43" i="1" s="1"/>
  <c r="G52" i="1"/>
  <c r="I70" i="1"/>
  <c r="K77" i="1"/>
  <c r="K78" i="1" s="1"/>
  <c r="K79" i="1" s="1"/>
  <c r="J77" i="1"/>
  <c r="J78" i="1" s="1"/>
  <c r="J79" i="1" s="1"/>
  <c r="I77" i="1"/>
  <c r="I78" i="1" s="1"/>
  <c r="I79" i="1" s="1"/>
  <c r="H77" i="1"/>
  <c r="H78" i="1" s="1"/>
  <c r="H79" i="1" s="1"/>
  <c r="F77" i="1"/>
  <c r="F78" i="1" s="1"/>
  <c r="F79" i="1" s="1"/>
  <c r="W5" i="2"/>
  <c r="W6" i="2" s="1"/>
  <c r="W7" i="2" s="1"/>
  <c r="O5" i="2"/>
  <c r="O6" i="2" s="1"/>
  <c r="O7" i="2" s="1"/>
  <c r="G5" i="2"/>
  <c r="G6" i="2" s="1"/>
  <c r="G7" i="2" s="1"/>
  <c r="V5" i="2"/>
  <c r="V6" i="2" s="1"/>
  <c r="V7" i="2" s="1"/>
  <c r="N5" i="2"/>
  <c r="N6" i="2" s="1"/>
  <c r="N7" i="2" s="1"/>
  <c r="F5" i="2"/>
  <c r="F6" i="2" s="1"/>
  <c r="F7" i="2" s="1"/>
  <c r="U5" i="2"/>
  <c r="U6" i="2" s="1"/>
  <c r="U7" i="2" s="1"/>
  <c r="M5" i="2"/>
  <c r="M6" i="2" s="1"/>
  <c r="M7" i="2" s="1"/>
  <c r="E5" i="2"/>
  <c r="E6" i="2" s="1"/>
  <c r="E7" i="2" s="1"/>
  <c r="T5" i="2"/>
  <c r="T6" i="2" s="1"/>
  <c r="T7" i="2" s="1"/>
  <c r="L5" i="2"/>
  <c r="L6" i="2" s="1"/>
  <c r="L7" i="2" s="1"/>
  <c r="D5" i="2"/>
  <c r="D6" i="2" s="1"/>
  <c r="D7" i="2" s="1"/>
  <c r="J5" i="2"/>
  <c r="J6" i="2" s="1"/>
  <c r="J7" i="2" s="1"/>
  <c r="Q35" i="2"/>
  <c r="Q36" i="2" s="1"/>
  <c r="Q37" i="2" s="1"/>
  <c r="O40" i="2"/>
  <c r="J94" i="2"/>
  <c r="K94" i="2" s="1"/>
  <c r="L94" i="2" s="1"/>
  <c r="I95" i="2"/>
  <c r="I96" i="2" s="1"/>
  <c r="I97" i="2" s="1"/>
  <c r="I16" i="3"/>
  <c r="H17" i="3"/>
  <c r="H18" i="3" s="1"/>
  <c r="H19" i="3" s="1"/>
  <c r="P35" i="2"/>
  <c r="P36" i="2" s="1"/>
  <c r="P37" i="2" s="1"/>
  <c r="D17" i="1"/>
  <c r="D18" i="1" s="1"/>
  <c r="D19" i="1" s="1"/>
  <c r="D23" i="1"/>
  <c r="D24" i="1" s="1"/>
  <c r="D25" i="1" s="1"/>
  <c r="K41" i="1"/>
  <c r="K42" i="1" s="1"/>
  <c r="K43" i="1" s="1"/>
  <c r="S41" i="1"/>
  <c r="S42" i="1" s="1"/>
  <c r="S43" i="1" s="1"/>
  <c r="G77" i="1"/>
  <c r="G78" i="1" s="1"/>
  <c r="G79" i="1" s="1"/>
  <c r="G89" i="1"/>
  <c r="G90" i="1" s="1"/>
  <c r="G91" i="1" s="1"/>
  <c r="F89" i="1"/>
  <c r="F90" i="1" s="1"/>
  <c r="F91" i="1" s="1"/>
  <c r="E89" i="1"/>
  <c r="E90" i="1" s="1"/>
  <c r="E91" i="1" s="1"/>
  <c r="D89" i="1"/>
  <c r="D90" i="1" s="1"/>
  <c r="D91" i="1" s="1"/>
  <c r="G113" i="1"/>
  <c r="G114" i="1" s="1"/>
  <c r="G115" i="1" s="1"/>
  <c r="K5" i="2"/>
  <c r="K6" i="2" s="1"/>
  <c r="K7" i="2" s="1"/>
  <c r="O58" i="2"/>
  <c r="P58" i="2" s="1"/>
  <c r="Q58" i="2" s="1"/>
  <c r="N59" i="2"/>
  <c r="N60" i="2" s="1"/>
  <c r="N61" i="2" s="1"/>
  <c r="N58" i="3"/>
  <c r="O58" i="3" s="1"/>
  <c r="P58" i="3" s="1"/>
  <c r="Q58" i="3" s="1"/>
  <c r="R58" i="3" s="1"/>
  <c r="S58" i="3" s="1"/>
  <c r="M59" i="3"/>
  <c r="M60" i="3" s="1"/>
  <c r="M61" i="3" s="1"/>
  <c r="K5" i="1"/>
  <c r="K6" i="1" s="1"/>
  <c r="K7" i="1" s="1"/>
  <c r="E17" i="1"/>
  <c r="E18" i="1" s="1"/>
  <c r="E19" i="1" s="1"/>
  <c r="E23" i="1"/>
  <c r="E24" i="1" s="1"/>
  <c r="E25" i="1" s="1"/>
  <c r="I29" i="1"/>
  <c r="I30" i="1" s="1"/>
  <c r="I31" i="1" s="1"/>
  <c r="D41" i="1"/>
  <c r="D42" i="1" s="1"/>
  <c r="D43" i="1" s="1"/>
  <c r="L41" i="1"/>
  <c r="L42" i="1" s="1"/>
  <c r="L43" i="1" s="1"/>
  <c r="T41" i="1"/>
  <c r="T42" i="1" s="1"/>
  <c r="T43" i="1" s="1"/>
  <c r="D47" i="1"/>
  <c r="D48" i="1" s="1"/>
  <c r="D49" i="1" s="1"/>
  <c r="L77" i="1"/>
  <c r="L78" i="1" s="1"/>
  <c r="L79" i="1" s="1"/>
  <c r="K83" i="1"/>
  <c r="K84" i="1" s="1"/>
  <c r="K85" i="1" s="1"/>
  <c r="J89" i="1"/>
  <c r="J90" i="1" s="1"/>
  <c r="J91" i="1" s="1"/>
  <c r="P5" i="2"/>
  <c r="P6" i="2" s="1"/>
  <c r="P7" i="2" s="1"/>
  <c r="J70" i="2"/>
  <c r="K70" i="2" s="1"/>
  <c r="L70" i="2" s="1"/>
  <c r="I71" i="2"/>
  <c r="I72" i="2" s="1"/>
  <c r="I73" i="2" s="1"/>
  <c r="I41" i="1"/>
  <c r="I42" i="1" s="1"/>
  <c r="I43" i="1" s="1"/>
  <c r="G119" i="1"/>
  <c r="G120" i="1" s="1"/>
  <c r="G121" i="1" s="1"/>
  <c r="D5" i="1"/>
  <c r="D6" i="1" s="1"/>
  <c r="D7" i="1" s="1"/>
  <c r="F23" i="1"/>
  <c r="F24" i="1" s="1"/>
  <c r="F25" i="1" s="1"/>
  <c r="J29" i="1"/>
  <c r="J30" i="1" s="1"/>
  <c r="J31" i="1" s="1"/>
  <c r="E41" i="1"/>
  <c r="E42" i="1" s="1"/>
  <c r="E43" i="1" s="1"/>
  <c r="M41" i="1"/>
  <c r="M42" i="1" s="1"/>
  <c r="M43" i="1" s="1"/>
  <c r="E47" i="1"/>
  <c r="E48" i="1" s="1"/>
  <c r="E49" i="1" s="1"/>
  <c r="M47" i="1"/>
  <c r="M48" i="1" s="1"/>
  <c r="M49" i="1" s="1"/>
  <c r="M77" i="1"/>
  <c r="M78" i="1" s="1"/>
  <c r="M79" i="1" s="1"/>
  <c r="Q5" i="2"/>
  <c r="Q6" i="2" s="1"/>
  <c r="Q7" i="2" s="1"/>
  <c r="S17" i="2"/>
  <c r="S18" i="2" s="1"/>
  <c r="S19" i="2" s="1"/>
  <c r="K17" i="2"/>
  <c r="K18" i="2" s="1"/>
  <c r="K19" i="2" s="1"/>
  <c r="R17" i="2"/>
  <c r="R18" i="2" s="1"/>
  <c r="R19" i="2" s="1"/>
  <c r="J17" i="2"/>
  <c r="J18" i="2" s="1"/>
  <c r="J19" i="2" s="1"/>
  <c r="Q17" i="2"/>
  <c r="Q18" i="2" s="1"/>
  <c r="Q19" i="2" s="1"/>
  <c r="I17" i="2"/>
  <c r="I18" i="2" s="1"/>
  <c r="I19" i="2" s="1"/>
  <c r="P17" i="2"/>
  <c r="P18" i="2" s="1"/>
  <c r="P19" i="2" s="1"/>
  <c r="H17" i="2"/>
  <c r="H18" i="2" s="1"/>
  <c r="H19" i="2" s="1"/>
  <c r="O17" i="2"/>
  <c r="O18" i="2" s="1"/>
  <c r="O19" i="2" s="1"/>
  <c r="G17" i="2"/>
  <c r="G18" i="2" s="1"/>
  <c r="G19" i="2" s="1"/>
  <c r="N17" i="2"/>
  <c r="N18" i="2" s="1"/>
  <c r="N19" i="2" s="1"/>
  <c r="F17" i="2"/>
  <c r="F18" i="2" s="1"/>
  <c r="F19" i="2" s="1"/>
  <c r="E17" i="2"/>
  <c r="E18" i="2" s="1"/>
  <c r="E19" i="2" s="1"/>
  <c r="Q41" i="1"/>
  <c r="Q42" i="1" s="1"/>
  <c r="Q43" i="1" s="1"/>
  <c r="E5" i="1"/>
  <c r="E6" i="1" s="1"/>
  <c r="E7" i="1" s="1"/>
  <c r="D11" i="1"/>
  <c r="D12" i="1" s="1"/>
  <c r="D13" i="1" s="1"/>
  <c r="L11" i="1"/>
  <c r="L12" i="1" s="1"/>
  <c r="L13" i="1" s="1"/>
  <c r="G23" i="1"/>
  <c r="G24" i="1" s="1"/>
  <c r="G25" i="1" s="1"/>
  <c r="K29" i="1"/>
  <c r="K30" i="1" s="1"/>
  <c r="K31" i="1" s="1"/>
  <c r="F41" i="1"/>
  <c r="F42" i="1" s="1"/>
  <c r="F43" i="1" s="1"/>
  <c r="N41" i="1"/>
  <c r="N42" i="1" s="1"/>
  <c r="N43" i="1" s="1"/>
  <c r="F47" i="1"/>
  <c r="F48" i="1" s="1"/>
  <c r="F49" i="1" s="1"/>
  <c r="N47" i="1"/>
  <c r="N48" i="1" s="1"/>
  <c r="N49" i="1" s="1"/>
  <c r="N77" i="1"/>
  <c r="N78" i="1" s="1"/>
  <c r="N79" i="1" s="1"/>
  <c r="H95" i="1"/>
  <c r="H96" i="1" s="1"/>
  <c r="H97" i="1" s="1"/>
  <c r="R5" i="2"/>
  <c r="R6" i="2" s="1"/>
  <c r="R7" i="2" s="1"/>
  <c r="L17" i="2"/>
  <c r="L18" i="2" s="1"/>
  <c r="L19" i="2" s="1"/>
  <c r="K28" i="2"/>
  <c r="J29" i="2"/>
  <c r="J30" i="2" s="1"/>
  <c r="J31" i="2" s="1"/>
  <c r="H101" i="2"/>
  <c r="H102" i="2" s="1"/>
  <c r="H103" i="2" s="1"/>
  <c r="I100" i="2"/>
  <c r="J100" i="2" s="1"/>
  <c r="K100" i="2" s="1"/>
  <c r="L100" i="2" s="1"/>
  <c r="J112" i="2"/>
  <c r="F5" i="1"/>
  <c r="F6" i="1" s="1"/>
  <c r="F7" i="1" s="1"/>
  <c r="N5" i="1"/>
  <c r="N6" i="1" s="1"/>
  <c r="N7" i="1" s="1"/>
  <c r="E11" i="1"/>
  <c r="E12" i="1" s="1"/>
  <c r="E13" i="1" s="1"/>
  <c r="H23" i="1"/>
  <c r="H24" i="1" s="1"/>
  <c r="H25" i="1" s="1"/>
  <c r="D29" i="1"/>
  <c r="D30" i="1" s="1"/>
  <c r="D31" i="1" s="1"/>
  <c r="D35" i="1"/>
  <c r="D36" i="1" s="1"/>
  <c r="D37" i="1" s="1"/>
  <c r="G41" i="1"/>
  <c r="G42" i="1" s="1"/>
  <c r="G43" i="1" s="1"/>
  <c r="G47" i="1"/>
  <c r="G48" i="1" s="1"/>
  <c r="G49" i="1" s="1"/>
  <c r="I95" i="1"/>
  <c r="I96" i="1" s="1"/>
  <c r="I97" i="1" s="1"/>
  <c r="D107" i="1"/>
  <c r="D108" i="1" s="1"/>
  <c r="D109" i="1" s="1"/>
  <c r="D137" i="1"/>
  <c r="D138" i="1" s="1"/>
  <c r="D139" i="1" s="1"/>
  <c r="S5" i="2"/>
  <c r="S6" i="2" s="1"/>
  <c r="S7" i="2" s="1"/>
  <c r="M17" i="2"/>
  <c r="M18" i="2" s="1"/>
  <c r="M19" i="2" s="1"/>
  <c r="H22" i="2"/>
  <c r="I22" i="2" s="1"/>
  <c r="J22" i="2" s="1"/>
  <c r="K22" i="2" s="1"/>
  <c r="L22" i="2" s="1"/>
  <c r="G23" i="2"/>
  <c r="G24" i="2" s="1"/>
  <c r="G25" i="2" s="1"/>
  <c r="H35" i="2"/>
  <c r="H36" i="2" s="1"/>
  <c r="H37" i="2" s="1"/>
  <c r="L41" i="2"/>
  <c r="L42" i="2" s="1"/>
  <c r="L43" i="2" s="1"/>
  <c r="R40" i="3"/>
  <c r="S40" i="3" s="1"/>
  <c r="T40" i="3" s="1"/>
  <c r="U40" i="3" s="1"/>
  <c r="V40" i="3" s="1"/>
  <c r="Q41" i="3"/>
  <c r="Q42" i="3" s="1"/>
  <c r="Q43" i="3" s="1"/>
  <c r="G89" i="2"/>
  <c r="G90" i="2" s="1"/>
  <c r="G91" i="2" s="1"/>
  <c r="F89" i="2"/>
  <c r="F90" i="2" s="1"/>
  <c r="F91" i="2" s="1"/>
  <c r="E89" i="2"/>
  <c r="E90" i="2" s="1"/>
  <c r="E91" i="2" s="1"/>
  <c r="L89" i="2"/>
  <c r="L90" i="2" s="1"/>
  <c r="L91" i="2" s="1"/>
  <c r="D89" i="2"/>
  <c r="D90" i="2" s="1"/>
  <c r="D91" i="2" s="1"/>
  <c r="K89" i="2"/>
  <c r="K90" i="2" s="1"/>
  <c r="K91" i="2" s="1"/>
  <c r="J89" i="2"/>
  <c r="J90" i="2" s="1"/>
  <c r="J91" i="2" s="1"/>
  <c r="H89" i="2"/>
  <c r="H90" i="2" s="1"/>
  <c r="H91" i="2" s="1"/>
  <c r="D137" i="2"/>
  <c r="D138" i="2" s="1"/>
  <c r="D139" i="2" s="1"/>
  <c r="H5" i="3"/>
  <c r="H6" i="3" s="1"/>
  <c r="H7" i="3" s="1"/>
  <c r="I4" i="3"/>
  <c r="J4" i="3" s="1"/>
  <c r="K4" i="3" s="1"/>
  <c r="L4" i="3" s="1"/>
  <c r="F23" i="2"/>
  <c r="F24" i="2" s="1"/>
  <c r="F25" i="2" s="1"/>
  <c r="J65" i="2"/>
  <c r="J66" i="2" s="1"/>
  <c r="J67" i="2" s="1"/>
  <c r="H77" i="2"/>
  <c r="H78" i="2" s="1"/>
  <c r="H79" i="2" s="1"/>
  <c r="I76" i="2"/>
  <c r="J76" i="2" s="1"/>
  <c r="K76" i="2" s="1"/>
  <c r="L76" i="2" s="1"/>
  <c r="M76" i="2" s="1"/>
  <c r="G113" i="2"/>
  <c r="G114" i="2" s="1"/>
  <c r="G115" i="2" s="1"/>
  <c r="I22" i="3"/>
  <c r="H23" i="3"/>
  <c r="H24" i="3" s="1"/>
  <c r="H25" i="3" s="1"/>
  <c r="E59" i="3"/>
  <c r="E60" i="3" s="1"/>
  <c r="E61" i="3" s="1"/>
  <c r="I65" i="3"/>
  <c r="I66" i="3" s="1"/>
  <c r="I67" i="3" s="1"/>
  <c r="M76" i="3"/>
  <c r="L77" i="3"/>
  <c r="L78" i="3" s="1"/>
  <c r="L79" i="3" s="1"/>
  <c r="G53" i="2"/>
  <c r="G54" i="2" s="1"/>
  <c r="G55" i="2" s="1"/>
  <c r="E53" i="2"/>
  <c r="E54" i="2" s="1"/>
  <c r="E55" i="2" s="1"/>
  <c r="I89" i="2"/>
  <c r="I90" i="2" s="1"/>
  <c r="I91" i="2" s="1"/>
  <c r="I118" i="2"/>
  <c r="U11" i="3"/>
  <c r="U12" i="3" s="1"/>
  <c r="U13" i="3" s="1"/>
  <c r="G35" i="3"/>
  <c r="G36" i="3" s="1"/>
  <c r="G37" i="3" s="1"/>
  <c r="H34" i="3"/>
  <c r="I34" i="3" s="1"/>
  <c r="J34" i="3" s="1"/>
  <c r="K34" i="3" s="1"/>
  <c r="L34" i="3" s="1"/>
  <c r="I41" i="3"/>
  <c r="I42" i="3" s="1"/>
  <c r="I43" i="3" s="1"/>
  <c r="I46" i="3"/>
  <c r="H47" i="3"/>
  <c r="H48" i="3" s="1"/>
  <c r="H49" i="3" s="1"/>
  <c r="E65" i="1"/>
  <c r="E66" i="1" s="1"/>
  <c r="E67" i="1" s="1"/>
  <c r="D71" i="1"/>
  <c r="D72" i="1" s="1"/>
  <c r="D73" i="1" s="1"/>
  <c r="H83" i="1"/>
  <c r="H84" i="1" s="1"/>
  <c r="H85" i="1" s="1"/>
  <c r="D113" i="1"/>
  <c r="D114" i="1" s="1"/>
  <c r="D115" i="1" s="1"/>
  <c r="D119" i="1"/>
  <c r="D120" i="1" s="1"/>
  <c r="D121" i="1" s="1"/>
  <c r="D11" i="2"/>
  <c r="D12" i="2" s="1"/>
  <c r="D13" i="2" s="1"/>
  <c r="H23" i="2"/>
  <c r="H24" i="2" s="1"/>
  <c r="H25" i="2" s="1"/>
  <c r="D29" i="2"/>
  <c r="D30" i="2" s="1"/>
  <c r="D31" i="2" s="1"/>
  <c r="H41" i="2"/>
  <c r="H42" i="2" s="1"/>
  <c r="H43" i="2" s="1"/>
  <c r="D53" i="2"/>
  <c r="D54" i="2" s="1"/>
  <c r="D55" i="2" s="1"/>
  <c r="I59" i="2"/>
  <c r="I60" i="2" s="1"/>
  <c r="I61" i="2" s="1"/>
  <c r="F65" i="1"/>
  <c r="F66" i="1" s="1"/>
  <c r="F67" i="1" s="1"/>
  <c r="E71" i="1"/>
  <c r="E72" i="1" s="1"/>
  <c r="E73" i="1" s="1"/>
  <c r="I83" i="1"/>
  <c r="I84" i="1" s="1"/>
  <c r="I85" i="1" s="1"/>
  <c r="E113" i="1"/>
  <c r="E114" i="1" s="1"/>
  <c r="E115" i="1" s="1"/>
  <c r="E119" i="1"/>
  <c r="E120" i="1" s="1"/>
  <c r="E121" i="1" s="1"/>
  <c r="E11" i="2"/>
  <c r="E12" i="2" s="1"/>
  <c r="E13" i="2" s="1"/>
  <c r="E29" i="2"/>
  <c r="E30" i="2" s="1"/>
  <c r="E31" i="2" s="1"/>
  <c r="I41" i="2"/>
  <c r="I42" i="2" s="1"/>
  <c r="I43" i="2" s="1"/>
  <c r="F53" i="2"/>
  <c r="F54" i="2" s="1"/>
  <c r="F55" i="2" s="1"/>
  <c r="L59" i="2"/>
  <c r="L60" i="2" s="1"/>
  <c r="L61" i="2" s="1"/>
  <c r="M83" i="2"/>
  <c r="M84" i="2" s="1"/>
  <c r="M85" i="2" s="1"/>
  <c r="S11" i="3"/>
  <c r="S12" i="3" s="1"/>
  <c r="S13" i="3" s="1"/>
  <c r="O28" i="4"/>
  <c r="P28" i="4" s="1"/>
  <c r="Q28" i="4" s="1"/>
  <c r="R28" i="4" s="1"/>
  <c r="S28" i="4" s="1"/>
  <c r="T28" i="4" s="1"/>
  <c r="U28" i="4" s="1"/>
  <c r="V28" i="4" s="1"/>
  <c r="N29" i="4"/>
  <c r="N30" i="4" s="1"/>
  <c r="N31" i="4" s="1"/>
  <c r="K59" i="1"/>
  <c r="K60" i="1" s="1"/>
  <c r="K61" i="1" s="1"/>
  <c r="G65" i="1"/>
  <c r="G66" i="1" s="1"/>
  <c r="G67" i="1" s="1"/>
  <c r="F71" i="1"/>
  <c r="F72" i="1" s="1"/>
  <c r="F73" i="1" s="1"/>
  <c r="J83" i="1"/>
  <c r="J84" i="1" s="1"/>
  <c r="J85" i="1" s="1"/>
  <c r="F113" i="1"/>
  <c r="F114" i="1" s="1"/>
  <c r="F115" i="1" s="1"/>
  <c r="F119" i="1"/>
  <c r="F120" i="1" s="1"/>
  <c r="F121" i="1" s="1"/>
  <c r="F11" i="2"/>
  <c r="F12" i="2" s="1"/>
  <c r="F13" i="2" s="1"/>
  <c r="J23" i="2"/>
  <c r="J24" i="2" s="1"/>
  <c r="J25" i="2" s="1"/>
  <c r="F29" i="2"/>
  <c r="F30" i="2" s="1"/>
  <c r="F31" i="2" s="1"/>
  <c r="J41" i="2"/>
  <c r="J42" i="2" s="1"/>
  <c r="J43" i="2" s="1"/>
  <c r="H53" i="2"/>
  <c r="H54" i="2" s="1"/>
  <c r="H55" i="2" s="1"/>
  <c r="P65" i="2"/>
  <c r="P66" i="2" s="1"/>
  <c r="P67" i="2" s="1"/>
  <c r="I106" i="2"/>
  <c r="J106" i="2" s="1"/>
  <c r="K106" i="2" s="1"/>
  <c r="H107" i="2"/>
  <c r="H108" i="2" s="1"/>
  <c r="H109" i="2" s="1"/>
  <c r="O41" i="3"/>
  <c r="O42" i="3" s="1"/>
  <c r="O43" i="3" s="1"/>
  <c r="G41" i="3"/>
  <c r="G42" i="3" s="1"/>
  <c r="G43" i="3" s="1"/>
  <c r="N41" i="3"/>
  <c r="N42" i="3" s="1"/>
  <c r="N43" i="3" s="1"/>
  <c r="F41" i="3"/>
  <c r="F42" i="3" s="1"/>
  <c r="F43" i="3" s="1"/>
  <c r="M41" i="3"/>
  <c r="M42" i="3" s="1"/>
  <c r="M43" i="3" s="1"/>
  <c r="E41" i="3"/>
  <c r="E42" i="3" s="1"/>
  <c r="E43" i="3" s="1"/>
  <c r="L41" i="3"/>
  <c r="L42" i="3" s="1"/>
  <c r="L43" i="3" s="1"/>
  <c r="D41" i="3"/>
  <c r="D42" i="3" s="1"/>
  <c r="D43" i="3" s="1"/>
  <c r="K41" i="3"/>
  <c r="K42" i="3" s="1"/>
  <c r="K43" i="3" s="1"/>
  <c r="J41" i="3"/>
  <c r="J42" i="3" s="1"/>
  <c r="J43" i="3" s="1"/>
  <c r="P41" i="3"/>
  <c r="P42" i="3" s="1"/>
  <c r="P43" i="3" s="1"/>
  <c r="H41" i="3"/>
  <c r="H42" i="3" s="1"/>
  <c r="H43" i="3" s="1"/>
  <c r="F53" i="3"/>
  <c r="F54" i="3" s="1"/>
  <c r="F55" i="3" s="1"/>
  <c r="G52" i="3"/>
  <c r="I70" i="3"/>
  <c r="H71" i="3"/>
  <c r="H72" i="3" s="1"/>
  <c r="H73" i="3" s="1"/>
  <c r="D59" i="1"/>
  <c r="D60" i="1" s="1"/>
  <c r="D61" i="1" s="1"/>
  <c r="H65" i="1"/>
  <c r="H66" i="1" s="1"/>
  <c r="H67" i="1" s="1"/>
  <c r="G71" i="1"/>
  <c r="G72" i="1" s="1"/>
  <c r="G73" i="1" s="1"/>
  <c r="G11" i="2"/>
  <c r="G12" i="2" s="1"/>
  <c r="G13" i="2" s="1"/>
  <c r="G29" i="2"/>
  <c r="G30" i="2" s="1"/>
  <c r="G31" i="2" s="1"/>
  <c r="K41" i="2"/>
  <c r="K42" i="2" s="1"/>
  <c r="K43" i="2" s="1"/>
  <c r="I53" i="2"/>
  <c r="I54" i="2" s="1"/>
  <c r="I55" i="2" s="1"/>
  <c r="G95" i="2"/>
  <c r="G96" i="2" s="1"/>
  <c r="G97" i="2" s="1"/>
  <c r="M28" i="3"/>
  <c r="L29" i="3"/>
  <c r="L30" i="3" s="1"/>
  <c r="L31" i="3" s="1"/>
  <c r="M82" i="3"/>
  <c r="L83" i="3"/>
  <c r="L84" i="3" s="1"/>
  <c r="L85" i="3" s="1"/>
  <c r="E59" i="2"/>
  <c r="E60" i="2" s="1"/>
  <c r="E61" i="2" s="1"/>
  <c r="M59" i="2"/>
  <c r="M60" i="2" s="1"/>
  <c r="M61" i="2" s="1"/>
  <c r="I65" i="2"/>
  <c r="I66" i="2" s="1"/>
  <c r="I67" i="2" s="1"/>
  <c r="H71" i="2"/>
  <c r="H72" i="2" s="1"/>
  <c r="H73" i="2" s="1"/>
  <c r="D77" i="2"/>
  <c r="D78" i="2" s="1"/>
  <c r="D79" i="2" s="1"/>
  <c r="L77" i="2"/>
  <c r="L78" i="2" s="1"/>
  <c r="L79" i="2" s="1"/>
  <c r="D83" i="2"/>
  <c r="D84" i="2" s="1"/>
  <c r="D85" i="2" s="1"/>
  <c r="L83" i="2"/>
  <c r="L84" i="2" s="1"/>
  <c r="L85" i="2" s="1"/>
  <c r="H95" i="2"/>
  <c r="H96" i="2" s="1"/>
  <c r="H97" i="2" s="1"/>
  <c r="D101" i="2"/>
  <c r="D102" i="2" s="1"/>
  <c r="D103" i="2" s="1"/>
  <c r="D107" i="2"/>
  <c r="D108" i="2" s="1"/>
  <c r="D109" i="2" s="1"/>
  <c r="H113" i="2"/>
  <c r="H114" i="2" s="1"/>
  <c r="H115" i="2" s="1"/>
  <c r="D131" i="2"/>
  <c r="D132" i="2" s="1"/>
  <c r="D133" i="2" s="1"/>
  <c r="D11" i="3"/>
  <c r="D12" i="3" s="1"/>
  <c r="D13" i="3" s="1"/>
  <c r="L11" i="3"/>
  <c r="L12" i="3" s="1"/>
  <c r="L13" i="3" s="1"/>
  <c r="T11" i="3"/>
  <c r="T12" i="3" s="1"/>
  <c r="T13" i="3" s="1"/>
  <c r="D59" i="3"/>
  <c r="D60" i="3" s="1"/>
  <c r="D61" i="3" s="1"/>
  <c r="L59" i="3"/>
  <c r="L60" i="3" s="1"/>
  <c r="L61" i="3" s="1"/>
  <c r="L46" i="4"/>
  <c r="M46" i="4" s="1"/>
  <c r="K47" i="4"/>
  <c r="K48" i="4" s="1"/>
  <c r="K49" i="4" s="1"/>
  <c r="F124" i="4"/>
  <c r="E125" i="4"/>
  <c r="E126" i="4" s="1"/>
  <c r="E127" i="4" s="1"/>
  <c r="G59" i="2"/>
  <c r="G60" i="2" s="1"/>
  <c r="G61" i="2" s="1"/>
  <c r="O59" i="2"/>
  <c r="O60" i="2" s="1"/>
  <c r="O61" i="2" s="1"/>
  <c r="K65" i="2"/>
  <c r="K66" i="2" s="1"/>
  <c r="K67" i="2" s="1"/>
  <c r="J71" i="2"/>
  <c r="J72" i="2" s="1"/>
  <c r="J73" i="2" s="1"/>
  <c r="F77" i="2"/>
  <c r="F78" i="2" s="1"/>
  <c r="F79" i="2" s="1"/>
  <c r="F83" i="2"/>
  <c r="F84" i="2" s="1"/>
  <c r="F85" i="2" s="1"/>
  <c r="F101" i="2"/>
  <c r="F102" i="2" s="1"/>
  <c r="F103" i="2" s="1"/>
  <c r="F107" i="2"/>
  <c r="F108" i="2" s="1"/>
  <c r="F109" i="2" s="1"/>
  <c r="F125" i="2"/>
  <c r="F126" i="2" s="1"/>
  <c r="F127" i="2" s="1"/>
  <c r="F5" i="3"/>
  <c r="F6" i="3" s="1"/>
  <c r="F7" i="3" s="1"/>
  <c r="F11" i="3"/>
  <c r="F12" i="3" s="1"/>
  <c r="F13" i="3" s="1"/>
  <c r="N11" i="3"/>
  <c r="N12" i="3" s="1"/>
  <c r="N13" i="3" s="1"/>
  <c r="V11" i="3"/>
  <c r="V12" i="3" s="1"/>
  <c r="V13" i="3" s="1"/>
  <c r="F29" i="3"/>
  <c r="F30" i="3" s="1"/>
  <c r="F31" i="3" s="1"/>
  <c r="F35" i="3"/>
  <c r="F36" i="3" s="1"/>
  <c r="F37" i="3" s="1"/>
  <c r="F59" i="3"/>
  <c r="F60" i="3" s="1"/>
  <c r="F61" i="3" s="1"/>
  <c r="E101" i="3"/>
  <c r="E102" i="3" s="1"/>
  <c r="E103" i="3" s="1"/>
  <c r="F100" i="3"/>
  <c r="G100" i="3" s="1"/>
  <c r="H100" i="3" s="1"/>
  <c r="I100" i="3" s="1"/>
  <c r="J100" i="3" s="1"/>
  <c r="K100" i="3" s="1"/>
  <c r="L100" i="3" s="1"/>
  <c r="H10" i="4"/>
  <c r="I10" i="4" s="1"/>
  <c r="J10" i="4" s="1"/>
  <c r="K10" i="4" s="1"/>
  <c r="G11" i="4"/>
  <c r="G12" i="4" s="1"/>
  <c r="G13" i="4" s="1"/>
  <c r="H59" i="2"/>
  <c r="H60" i="2" s="1"/>
  <c r="H61" i="2" s="1"/>
  <c r="P59" i="2"/>
  <c r="P60" i="2" s="1"/>
  <c r="P61" i="2" s="1"/>
  <c r="D65" i="2"/>
  <c r="D66" i="2" s="1"/>
  <c r="D67" i="2" s="1"/>
  <c r="L65" i="2"/>
  <c r="L66" i="2" s="1"/>
  <c r="L67" i="2" s="1"/>
  <c r="K71" i="2"/>
  <c r="K72" i="2" s="1"/>
  <c r="K73" i="2" s="1"/>
  <c r="G77" i="2"/>
  <c r="G78" i="2" s="1"/>
  <c r="G79" i="2" s="1"/>
  <c r="G83" i="2"/>
  <c r="G84" i="2" s="1"/>
  <c r="G85" i="2" s="1"/>
  <c r="G101" i="2"/>
  <c r="G102" i="2" s="1"/>
  <c r="G103" i="2" s="1"/>
  <c r="G107" i="2"/>
  <c r="G108" i="2" s="1"/>
  <c r="G109" i="2" s="1"/>
  <c r="G5" i="3"/>
  <c r="G6" i="3" s="1"/>
  <c r="G7" i="3" s="1"/>
  <c r="G11" i="3"/>
  <c r="G12" i="3" s="1"/>
  <c r="G13" i="3" s="1"/>
  <c r="O11" i="3"/>
  <c r="O12" i="3" s="1"/>
  <c r="O13" i="3" s="1"/>
  <c r="W11" i="3"/>
  <c r="W12" i="3" s="1"/>
  <c r="W13" i="3" s="1"/>
  <c r="G29" i="3"/>
  <c r="G30" i="3" s="1"/>
  <c r="G31" i="3" s="1"/>
  <c r="G59" i="3"/>
  <c r="G60" i="3" s="1"/>
  <c r="G61" i="3" s="1"/>
  <c r="K83" i="3"/>
  <c r="K84" i="3" s="1"/>
  <c r="K85" i="3" s="1"/>
  <c r="G119" i="3"/>
  <c r="G120" i="3" s="1"/>
  <c r="G121" i="3" s="1"/>
  <c r="H118" i="3"/>
  <c r="H16" i="4"/>
  <c r="G17" i="4"/>
  <c r="G18" i="4" s="1"/>
  <c r="G19" i="4" s="1"/>
  <c r="G23" i="4"/>
  <c r="G24" i="4" s="1"/>
  <c r="G25" i="4" s="1"/>
  <c r="H22" i="4"/>
  <c r="H40" i="4"/>
  <c r="I40" i="4" s="1"/>
  <c r="J40" i="4" s="1"/>
  <c r="K40" i="4" s="1"/>
  <c r="G41" i="4"/>
  <c r="G42" i="4" s="1"/>
  <c r="G43" i="4" s="1"/>
  <c r="E65" i="2"/>
  <c r="E66" i="2" s="1"/>
  <c r="E67" i="2" s="1"/>
  <c r="M65" i="2"/>
  <c r="M66" i="2" s="1"/>
  <c r="M67" i="2" s="1"/>
  <c r="H83" i="2"/>
  <c r="H84" i="2" s="1"/>
  <c r="H85" i="2" s="1"/>
  <c r="H11" i="3"/>
  <c r="H12" i="3" s="1"/>
  <c r="H13" i="3" s="1"/>
  <c r="P11" i="3"/>
  <c r="P12" i="3" s="1"/>
  <c r="P13" i="3" s="1"/>
  <c r="X11" i="3"/>
  <c r="X12" i="3" s="1"/>
  <c r="X13" i="3" s="1"/>
  <c r="D17" i="3"/>
  <c r="D18" i="3" s="1"/>
  <c r="D19" i="3" s="1"/>
  <c r="D23" i="3"/>
  <c r="D24" i="3" s="1"/>
  <c r="D25" i="3" s="1"/>
  <c r="H29" i="3"/>
  <c r="H30" i="3" s="1"/>
  <c r="H31" i="3" s="1"/>
  <c r="D47" i="3"/>
  <c r="D48" i="3" s="1"/>
  <c r="D49" i="3" s="1"/>
  <c r="H59" i="3"/>
  <c r="H60" i="3" s="1"/>
  <c r="H61" i="3" s="1"/>
  <c r="G95" i="3"/>
  <c r="G96" i="3" s="1"/>
  <c r="G97" i="3" s="1"/>
  <c r="H94" i="3"/>
  <c r="G130" i="3"/>
  <c r="J59" i="2"/>
  <c r="J60" i="2" s="1"/>
  <c r="J61" i="2" s="1"/>
  <c r="F65" i="2"/>
  <c r="F66" i="2" s="1"/>
  <c r="F67" i="2" s="1"/>
  <c r="N65" i="2"/>
  <c r="N66" i="2" s="1"/>
  <c r="N67" i="2" s="1"/>
  <c r="E71" i="2"/>
  <c r="E72" i="2" s="1"/>
  <c r="E73" i="2" s="1"/>
  <c r="I77" i="2"/>
  <c r="I78" i="2" s="1"/>
  <c r="I79" i="2" s="1"/>
  <c r="I83" i="2"/>
  <c r="I84" i="2" s="1"/>
  <c r="I85" i="2" s="1"/>
  <c r="E95" i="2"/>
  <c r="E96" i="2" s="1"/>
  <c r="E97" i="2" s="1"/>
  <c r="I107" i="2"/>
  <c r="I108" i="2" s="1"/>
  <c r="I109" i="2" s="1"/>
  <c r="E113" i="2"/>
  <c r="E114" i="2" s="1"/>
  <c r="E115" i="2" s="1"/>
  <c r="E119" i="2"/>
  <c r="E120" i="2" s="1"/>
  <c r="E121" i="2" s="1"/>
  <c r="I11" i="3"/>
  <c r="I12" i="3" s="1"/>
  <c r="I13" i="3" s="1"/>
  <c r="Q11" i="3"/>
  <c r="Q12" i="3" s="1"/>
  <c r="Q13" i="3" s="1"/>
  <c r="Y11" i="3"/>
  <c r="Y12" i="3" s="1"/>
  <c r="Y13" i="3" s="1"/>
  <c r="E17" i="3"/>
  <c r="E18" i="3" s="1"/>
  <c r="E19" i="3" s="1"/>
  <c r="E23" i="3"/>
  <c r="E24" i="3" s="1"/>
  <c r="E25" i="3" s="1"/>
  <c r="I29" i="3"/>
  <c r="I30" i="3" s="1"/>
  <c r="I31" i="3" s="1"/>
  <c r="E47" i="3"/>
  <c r="E48" i="3" s="1"/>
  <c r="E49" i="3" s="1"/>
  <c r="I59" i="3"/>
  <c r="I60" i="3" s="1"/>
  <c r="I61" i="3" s="1"/>
  <c r="K59" i="2"/>
  <c r="K60" i="2" s="1"/>
  <c r="K61" i="2" s="1"/>
  <c r="G65" i="2"/>
  <c r="G66" i="2" s="1"/>
  <c r="G67" i="2" s="1"/>
  <c r="O65" i="2"/>
  <c r="O66" i="2" s="1"/>
  <c r="O67" i="2" s="1"/>
  <c r="F71" i="2"/>
  <c r="F72" i="2" s="1"/>
  <c r="F73" i="2" s="1"/>
  <c r="J77" i="2"/>
  <c r="J78" i="2" s="1"/>
  <c r="J79" i="2" s="1"/>
  <c r="J83" i="2"/>
  <c r="J84" i="2" s="1"/>
  <c r="J85" i="2" s="1"/>
  <c r="F95" i="2"/>
  <c r="F96" i="2" s="1"/>
  <c r="F97" i="2" s="1"/>
  <c r="F113" i="2"/>
  <c r="F114" i="2" s="1"/>
  <c r="F115" i="2" s="1"/>
  <c r="F119" i="2"/>
  <c r="F120" i="2" s="1"/>
  <c r="F121" i="2" s="1"/>
  <c r="J11" i="3"/>
  <c r="J12" i="3" s="1"/>
  <c r="J13" i="3" s="1"/>
  <c r="R11" i="3"/>
  <c r="R12" i="3" s="1"/>
  <c r="R13" i="3" s="1"/>
  <c r="F17" i="3"/>
  <c r="F18" i="3" s="1"/>
  <c r="F19" i="3" s="1"/>
  <c r="F23" i="3"/>
  <c r="F24" i="3" s="1"/>
  <c r="F25" i="3" s="1"/>
  <c r="J29" i="3"/>
  <c r="J30" i="3" s="1"/>
  <c r="J31" i="3" s="1"/>
  <c r="F47" i="3"/>
  <c r="F48" i="3" s="1"/>
  <c r="F49" i="3" s="1"/>
  <c r="J59" i="3"/>
  <c r="J60" i="3" s="1"/>
  <c r="J61" i="3" s="1"/>
  <c r="I107" i="3"/>
  <c r="I108" i="3" s="1"/>
  <c r="I109" i="3" s="1"/>
  <c r="H107" i="3"/>
  <c r="H108" i="3" s="1"/>
  <c r="H109" i="3" s="1"/>
  <c r="G107" i="3"/>
  <c r="G108" i="3" s="1"/>
  <c r="G109" i="3" s="1"/>
  <c r="F107" i="3"/>
  <c r="F108" i="3" s="1"/>
  <c r="F109" i="3" s="1"/>
  <c r="E107" i="3"/>
  <c r="E108" i="3" s="1"/>
  <c r="E109" i="3" s="1"/>
  <c r="G113" i="3"/>
  <c r="G114" i="3" s="1"/>
  <c r="G115" i="3" s="1"/>
  <c r="H112" i="3"/>
  <c r="E5" i="4"/>
  <c r="E6" i="4" s="1"/>
  <c r="E7" i="4" s="1"/>
  <c r="F4" i="4"/>
  <c r="G4" i="4" s="1"/>
  <c r="H4" i="4" s="1"/>
  <c r="I4" i="4" s="1"/>
  <c r="J4" i="4" s="1"/>
  <c r="K4" i="4" s="1"/>
  <c r="L4" i="4" s="1"/>
  <c r="D59" i="2"/>
  <c r="D60" i="2" s="1"/>
  <c r="D61" i="2" s="1"/>
  <c r="H65" i="2"/>
  <c r="H66" i="2" s="1"/>
  <c r="H67" i="2" s="1"/>
  <c r="G71" i="2"/>
  <c r="G72" i="2" s="1"/>
  <c r="G73" i="2" s="1"/>
  <c r="K11" i="3"/>
  <c r="K12" i="3" s="1"/>
  <c r="K13" i="3" s="1"/>
  <c r="G17" i="3"/>
  <c r="G18" i="3" s="1"/>
  <c r="G19" i="3" s="1"/>
  <c r="G23" i="3"/>
  <c r="G24" i="3" s="1"/>
  <c r="G25" i="3" s="1"/>
  <c r="K29" i="3"/>
  <c r="K30" i="3" s="1"/>
  <c r="K31" i="3" s="1"/>
  <c r="G47" i="3"/>
  <c r="G48" i="3" s="1"/>
  <c r="G49" i="3" s="1"/>
  <c r="K59" i="3"/>
  <c r="K60" i="3" s="1"/>
  <c r="K61" i="3" s="1"/>
  <c r="H89" i="3"/>
  <c r="H90" i="3" s="1"/>
  <c r="H91" i="3" s="1"/>
  <c r="G124" i="3"/>
  <c r="H124" i="3" s="1"/>
  <c r="F125" i="3"/>
  <c r="F126" i="3" s="1"/>
  <c r="F127" i="3" s="1"/>
  <c r="I89" i="3"/>
  <c r="I90" i="3" s="1"/>
  <c r="I91" i="3" s="1"/>
  <c r="F77" i="3"/>
  <c r="F78" i="3" s="1"/>
  <c r="F79" i="3" s="1"/>
  <c r="F83" i="3"/>
  <c r="F84" i="3" s="1"/>
  <c r="F85" i="3" s="1"/>
  <c r="J89" i="3"/>
  <c r="J90" i="3" s="1"/>
  <c r="J91" i="3" s="1"/>
  <c r="K88" i="4"/>
  <c r="L88" i="4" s="1"/>
  <c r="J89" i="4"/>
  <c r="J90" i="4" s="1"/>
  <c r="J91" i="4" s="1"/>
  <c r="D65" i="3"/>
  <c r="D66" i="3" s="1"/>
  <c r="D67" i="3" s="1"/>
  <c r="G77" i="3"/>
  <c r="G78" i="3" s="1"/>
  <c r="G79" i="3" s="1"/>
  <c r="G83" i="3"/>
  <c r="G84" i="3" s="1"/>
  <c r="G85" i="3" s="1"/>
  <c r="K89" i="3"/>
  <c r="K90" i="3" s="1"/>
  <c r="K91" i="3" s="1"/>
  <c r="G35" i="4"/>
  <c r="G36" i="4" s="1"/>
  <c r="G37" i="4" s="1"/>
  <c r="H34" i="4"/>
  <c r="I34" i="4" s="1"/>
  <c r="J34" i="4" s="1"/>
  <c r="K34" i="4" s="1"/>
  <c r="H58" i="4"/>
  <c r="I58" i="4" s="1"/>
  <c r="G59" i="4"/>
  <c r="G60" i="4" s="1"/>
  <c r="G61" i="4" s="1"/>
  <c r="E65" i="3"/>
  <c r="E66" i="3" s="1"/>
  <c r="E67" i="3" s="1"/>
  <c r="D71" i="3"/>
  <c r="D72" i="3" s="1"/>
  <c r="D73" i="3" s="1"/>
  <c r="H77" i="3"/>
  <c r="H78" i="3" s="1"/>
  <c r="H79" i="3" s="1"/>
  <c r="H83" i="3"/>
  <c r="H84" i="3" s="1"/>
  <c r="H85" i="3" s="1"/>
  <c r="D89" i="3"/>
  <c r="D90" i="3" s="1"/>
  <c r="D91" i="3" s="1"/>
  <c r="L89" i="3"/>
  <c r="L90" i="3" s="1"/>
  <c r="L91" i="3" s="1"/>
  <c r="D95" i="3"/>
  <c r="D96" i="3" s="1"/>
  <c r="D97" i="3" s="1"/>
  <c r="D113" i="3"/>
  <c r="D114" i="3" s="1"/>
  <c r="D115" i="3" s="1"/>
  <c r="D119" i="3"/>
  <c r="D120" i="3" s="1"/>
  <c r="D121" i="3" s="1"/>
  <c r="D137" i="3"/>
  <c r="D138" i="3" s="1"/>
  <c r="D139" i="3" s="1"/>
  <c r="M71" i="4"/>
  <c r="M72" i="4" s="1"/>
  <c r="M73" i="4" s="1"/>
  <c r="E71" i="4"/>
  <c r="E72" i="4" s="1"/>
  <c r="E73" i="4" s="1"/>
  <c r="K71" i="4"/>
  <c r="K72" i="4" s="1"/>
  <c r="K73" i="4" s="1"/>
  <c r="I71" i="4"/>
  <c r="I72" i="4" s="1"/>
  <c r="I73" i="4" s="1"/>
  <c r="H71" i="4"/>
  <c r="H72" i="4" s="1"/>
  <c r="H73" i="4" s="1"/>
  <c r="O71" i="4"/>
  <c r="O72" i="4" s="1"/>
  <c r="O73" i="4" s="1"/>
  <c r="G71" i="4"/>
  <c r="G72" i="4" s="1"/>
  <c r="G73" i="4" s="1"/>
  <c r="N71" i="4"/>
  <c r="N72" i="4" s="1"/>
  <c r="N73" i="4" s="1"/>
  <c r="L71" i="4"/>
  <c r="L72" i="4" s="1"/>
  <c r="L73" i="4" s="1"/>
  <c r="F71" i="4"/>
  <c r="F72" i="4" s="1"/>
  <c r="F73" i="4" s="1"/>
  <c r="D71" i="4"/>
  <c r="D72" i="4" s="1"/>
  <c r="D73" i="4" s="1"/>
  <c r="I83" i="4"/>
  <c r="I84" i="4" s="1"/>
  <c r="I85" i="4" s="1"/>
  <c r="G83" i="4"/>
  <c r="G84" i="4" s="1"/>
  <c r="G85" i="4" s="1"/>
  <c r="M83" i="4"/>
  <c r="M84" i="4" s="1"/>
  <c r="M85" i="4" s="1"/>
  <c r="E83" i="4"/>
  <c r="E84" i="4" s="1"/>
  <c r="E85" i="4" s="1"/>
  <c r="L83" i="4"/>
  <c r="L84" i="4" s="1"/>
  <c r="L85" i="4" s="1"/>
  <c r="D83" i="4"/>
  <c r="D84" i="4" s="1"/>
  <c r="D85" i="4" s="1"/>
  <c r="K83" i="4"/>
  <c r="K84" i="4" s="1"/>
  <c r="K85" i="4" s="1"/>
  <c r="H83" i="4"/>
  <c r="H84" i="4" s="1"/>
  <c r="H85" i="4" s="1"/>
  <c r="F83" i="4"/>
  <c r="F84" i="4" s="1"/>
  <c r="F85" i="4" s="1"/>
  <c r="F65" i="3"/>
  <c r="F66" i="3" s="1"/>
  <c r="F67" i="3" s="1"/>
  <c r="E71" i="3"/>
  <c r="E72" i="3" s="1"/>
  <c r="E73" i="3" s="1"/>
  <c r="I77" i="3"/>
  <c r="I78" i="3" s="1"/>
  <c r="I79" i="3" s="1"/>
  <c r="I83" i="3"/>
  <c r="I84" i="3" s="1"/>
  <c r="I85" i="3" s="1"/>
  <c r="E89" i="3"/>
  <c r="E90" i="3" s="1"/>
  <c r="E91" i="3" s="1"/>
  <c r="E95" i="3"/>
  <c r="E96" i="3" s="1"/>
  <c r="E97" i="3" s="1"/>
  <c r="I101" i="3"/>
  <c r="I102" i="3" s="1"/>
  <c r="I103" i="3" s="1"/>
  <c r="E113" i="3"/>
  <c r="E114" i="3" s="1"/>
  <c r="E115" i="3" s="1"/>
  <c r="E119" i="3"/>
  <c r="E120" i="3" s="1"/>
  <c r="E121" i="3" s="1"/>
  <c r="I106" i="4"/>
  <c r="J106" i="4" s="1"/>
  <c r="H107" i="4"/>
  <c r="H108" i="4" s="1"/>
  <c r="H109" i="4" s="1"/>
  <c r="F71" i="3"/>
  <c r="F72" i="3" s="1"/>
  <c r="F73" i="3" s="1"/>
  <c r="J77" i="3"/>
  <c r="J78" i="3" s="1"/>
  <c r="J79" i="3" s="1"/>
  <c r="J83" i="3"/>
  <c r="J84" i="3" s="1"/>
  <c r="J85" i="3" s="1"/>
  <c r="F89" i="3"/>
  <c r="F90" i="3" s="1"/>
  <c r="F91" i="3" s="1"/>
  <c r="J101" i="3"/>
  <c r="J102" i="3" s="1"/>
  <c r="J103" i="3" s="1"/>
  <c r="Q29" i="4"/>
  <c r="Q30" i="4" s="1"/>
  <c r="Q31" i="4" s="1"/>
  <c r="L52" i="4"/>
  <c r="M52" i="4" s="1"/>
  <c r="N52" i="4" s="1"/>
  <c r="O52" i="4" s="1"/>
  <c r="P52" i="4" s="1"/>
  <c r="Q52" i="4" s="1"/>
  <c r="R52" i="4" s="1"/>
  <c r="S52" i="4" s="1"/>
  <c r="T52" i="4" s="1"/>
  <c r="K53" i="4"/>
  <c r="K54" i="4" s="1"/>
  <c r="K55" i="4" s="1"/>
  <c r="J71" i="4"/>
  <c r="J72" i="4" s="1"/>
  <c r="J73" i="4" s="1"/>
  <c r="J101" i="4"/>
  <c r="J102" i="4" s="1"/>
  <c r="J103" i="4" s="1"/>
  <c r="K100" i="4"/>
  <c r="L100" i="4" s="1"/>
  <c r="H65" i="3"/>
  <c r="H66" i="3" s="1"/>
  <c r="H67" i="3" s="1"/>
  <c r="G71" i="3"/>
  <c r="G72" i="3" s="1"/>
  <c r="G73" i="3" s="1"/>
  <c r="I11" i="4"/>
  <c r="I12" i="4" s="1"/>
  <c r="I13" i="4" s="1"/>
  <c r="E11" i="4"/>
  <c r="E12" i="4" s="1"/>
  <c r="E13" i="4" s="1"/>
  <c r="D11" i="4"/>
  <c r="D12" i="4" s="1"/>
  <c r="D13" i="4" s="1"/>
  <c r="F35" i="4"/>
  <c r="F36" i="4" s="1"/>
  <c r="F37" i="4" s="1"/>
  <c r="I53" i="4"/>
  <c r="I54" i="4" s="1"/>
  <c r="I55" i="4" s="1"/>
  <c r="O65" i="4"/>
  <c r="O66" i="4" s="1"/>
  <c r="O67" i="4" s="1"/>
  <c r="J83" i="4"/>
  <c r="J84" i="4" s="1"/>
  <c r="J85" i="4" s="1"/>
  <c r="F17" i="4"/>
  <c r="F18" i="4" s="1"/>
  <c r="F19" i="4" s="1"/>
  <c r="F23" i="4"/>
  <c r="F24" i="4" s="1"/>
  <c r="F25" i="4" s="1"/>
  <c r="J29" i="4"/>
  <c r="J30" i="4" s="1"/>
  <c r="J31" i="4" s="1"/>
  <c r="R29" i="4"/>
  <c r="R30" i="4" s="1"/>
  <c r="R31" i="4" s="1"/>
  <c r="G47" i="4"/>
  <c r="G48" i="4" s="1"/>
  <c r="G49" i="4" s="1"/>
  <c r="E131" i="4"/>
  <c r="E132" i="4" s="1"/>
  <c r="E133" i="4" s="1"/>
  <c r="D131" i="4"/>
  <c r="D132" i="4" s="1"/>
  <c r="D133" i="4" s="1"/>
  <c r="K29" i="4"/>
  <c r="K30" i="4" s="1"/>
  <c r="K31" i="4" s="1"/>
  <c r="S29" i="4"/>
  <c r="S30" i="4" s="1"/>
  <c r="S31" i="4" s="1"/>
  <c r="D29" i="4"/>
  <c r="D30" i="4" s="1"/>
  <c r="D31" i="4" s="1"/>
  <c r="L29" i="4"/>
  <c r="L30" i="4" s="1"/>
  <c r="L31" i="4" s="1"/>
  <c r="T29" i="4"/>
  <c r="T30" i="4" s="1"/>
  <c r="T31" i="4" s="1"/>
  <c r="J53" i="4"/>
  <c r="J54" i="4" s="1"/>
  <c r="J55" i="4" s="1"/>
  <c r="H53" i="4"/>
  <c r="H54" i="4" s="1"/>
  <c r="H55" i="4" s="1"/>
  <c r="F53" i="4"/>
  <c r="F54" i="4" s="1"/>
  <c r="F55" i="4" s="1"/>
  <c r="E53" i="4"/>
  <c r="E54" i="4" s="1"/>
  <c r="E55" i="4" s="1"/>
  <c r="D53" i="4"/>
  <c r="D54" i="4" s="1"/>
  <c r="D55" i="4" s="1"/>
  <c r="H112" i="4"/>
  <c r="I112" i="4" s="1"/>
  <c r="J112" i="4" s="1"/>
  <c r="G113" i="4"/>
  <c r="G114" i="4" s="1"/>
  <c r="G115" i="4" s="1"/>
  <c r="E29" i="4"/>
  <c r="E30" i="4" s="1"/>
  <c r="E31" i="4" s="1"/>
  <c r="M29" i="4"/>
  <c r="M30" i="4" s="1"/>
  <c r="M31" i="4" s="1"/>
  <c r="U29" i="4"/>
  <c r="U30" i="4" s="1"/>
  <c r="U31" i="4" s="1"/>
  <c r="E35" i="4"/>
  <c r="E36" i="4" s="1"/>
  <c r="E37" i="4" s="1"/>
  <c r="G53" i="4"/>
  <c r="G54" i="4" s="1"/>
  <c r="G55" i="4" s="1"/>
  <c r="G76" i="4"/>
  <c r="H76" i="4" s="1"/>
  <c r="E119" i="4"/>
  <c r="E120" i="4" s="1"/>
  <c r="E121" i="4" s="1"/>
  <c r="G119" i="4"/>
  <c r="G120" i="4" s="1"/>
  <c r="G121" i="4" s="1"/>
  <c r="G29" i="4"/>
  <c r="G30" i="4" s="1"/>
  <c r="G31" i="4" s="1"/>
  <c r="O29" i="4"/>
  <c r="O30" i="4" s="1"/>
  <c r="O31" i="4" s="1"/>
  <c r="N65" i="4"/>
  <c r="N66" i="4" s="1"/>
  <c r="N67" i="4" s="1"/>
  <c r="F65" i="4"/>
  <c r="F66" i="4" s="1"/>
  <c r="F67" i="4" s="1"/>
  <c r="L65" i="4"/>
  <c r="L66" i="4" s="1"/>
  <c r="L67" i="4" s="1"/>
  <c r="D65" i="4"/>
  <c r="D66" i="4" s="1"/>
  <c r="D67" i="4" s="1"/>
  <c r="J65" i="4"/>
  <c r="J66" i="4" s="1"/>
  <c r="J67" i="4" s="1"/>
  <c r="I65" i="4"/>
  <c r="I66" i="4" s="1"/>
  <c r="I67" i="4" s="1"/>
  <c r="P65" i="4"/>
  <c r="P66" i="4" s="1"/>
  <c r="P67" i="4" s="1"/>
  <c r="H65" i="4"/>
  <c r="H66" i="4" s="1"/>
  <c r="H67" i="4" s="1"/>
  <c r="G65" i="4"/>
  <c r="G66" i="4" s="1"/>
  <c r="G67" i="4" s="1"/>
  <c r="H29" i="4"/>
  <c r="H30" i="4" s="1"/>
  <c r="H31" i="4" s="1"/>
  <c r="P29" i="4"/>
  <c r="P30" i="4" s="1"/>
  <c r="P31" i="4" s="1"/>
  <c r="K65" i="4"/>
  <c r="K66" i="4" s="1"/>
  <c r="K67" i="4" s="1"/>
  <c r="E95" i="4"/>
  <c r="E96" i="4" s="1"/>
  <c r="E97" i="4" s="1"/>
  <c r="K95" i="4"/>
  <c r="K96" i="4" s="1"/>
  <c r="K97" i="4" s="1"/>
  <c r="I95" i="4"/>
  <c r="I96" i="4" s="1"/>
  <c r="I97" i="4" s="1"/>
  <c r="H95" i="4"/>
  <c r="H96" i="4" s="1"/>
  <c r="H97" i="4" s="1"/>
  <c r="G95" i="4"/>
  <c r="G96" i="4" s="1"/>
  <c r="G97" i="4" s="1"/>
  <c r="I101" i="4"/>
  <c r="I102" i="4" s="1"/>
  <c r="I103" i="4" s="1"/>
  <c r="E17" i="4"/>
  <c r="E18" i="4" s="1"/>
  <c r="E19" i="4" s="1"/>
  <c r="E23" i="4"/>
  <c r="E24" i="4" s="1"/>
  <c r="E25" i="4" s="1"/>
  <c r="I29" i="4"/>
  <c r="I30" i="4" s="1"/>
  <c r="I31" i="4" s="1"/>
  <c r="E47" i="4"/>
  <c r="E48" i="4" s="1"/>
  <c r="E49" i="4" s="1"/>
  <c r="M65" i="4"/>
  <c r="M66" i="4" s="1"/>
  <c r="M67" i="4" s="1"/>
  <c r="F119" i="4"/>
  <c r="F120" i="4" s="1"/>
  <c r="F121" i="4" s="1"/>
  <c r="H47" i="4"/>
  <c r="H48" i="4" s="1"/>
  <c r="H49" i="4" s="1"/>
  <c r="D59" i="4"/>
  <c r="D60" i="4" s="1"/>
  <c r="D61" i="4" s="1"/>
  <c r="G89" i="4"/>
  <c r="G90" i="4" s="1"/>
  <c r="G91" i="4" s="1"/>
  <c r="I47" i="4"/>
  <c r="I48" i="4" s="1"/>
  <c r="I49" i="4" s="1"/>
  <c r="E59" i="4"/>
  <c r="E60" i="4" s="1"/>
  <c r="E61" i="4" s="1"/>
  <c r="D77" i="4"/>
  <c r="D78" i="4" s="1"/>
  <c r="D79" i="4" s="1"/>
  <c r="H89" i="4"/>
  <c r="H90" i="4" s="1"/>
  <c r="H91" i="4" s="1"/>
  <c r="D101" i="4"/>
  <c r="D102" i="4" s="1"/>
  <c r="D103" i="4" s="1"/>
  <c r="D107" i="4"/>
  <c r="D108" i="4" s="1"/>
  <c r="D109" i="4" s="1"/>
  <c r="D125" i="4"/>
  <c r="D126" i="4" s="1"/>
  <c r="D127" i="4" s="1"/>
  <c r="J47" i="4"/>
  <c r="J48" i="4" s="1"/>
  <c r="J49" i="4" s="1"/>
  <c r="F59" i="4"/>
  <c r="F60" i="4" s="1"/>
  <c r="F61" i="4" s="1"/>
  <c r="E77" i="4"/>
  <c r="E78" i="4" s="1"/>
  <c r="E79" i="4" s="1"/>
  <c r="I89" i="4"/>
  <c r="I90" i="4" s="1"/>
  <c r="I91" i="4" s="1"/>
  <c r="E101" i="4"/>
  <c r="E102" i="4" s="1"/>
  <c r="E103" i="4" s="1"/>
  <c r="E107" i="4"/>
  <c r="E108" i="4" s="1"/>
  <c r="E109" i="4" s="1"/>
  <c r="D41" i="4"/>
  <c r="D42" i="4" s="1"/>
  <c r="D43" i="4" s="1"/>
  <c r="D47" i="4"/>
  <c r="D48" i="4" s="1"/>
  <c r="D49" i="4" s="1"/>
  <c r="G77" i="4"/>
  <c r="G78" i="4" s="1"/>
  <c r="G79" i="4" s="1"/>
  <c r="G101" i="4"/>
  <c r="G102" i="4" s="1"/>
  <c r="G103" i="4" s="1"/>
  <c r="G107" i="4"/>
  <c r="G108" i="4" s="1"/>
  <c r="G109" i="4" s="1"/>
  <c r="F41" i="4"/>
  <c r="F42" i="4" s="1"/>
  <c r="F43" i="4" s="1"/>
  <c r="F47" i="4"/>
  <c r="F48" i="4" s="1"/>
  <c r="F49" i="4" s="1"/>
  <c r="E89" i="4"/>
  <c r="E90" i="4" s="1"/>
  <c r="E91" i="4" s="1"/>
  <c r="I107" i="4" l="1"/>
  <c r="I108" i="4" s="1"/>
  <c r="I109" i="4" s="1"/>
  <c r="I41" i="4"/>
  <c r="I42" i="4" s="1"/>
  <c r="I43" i="4" s="1"/>
  <c r="J41" i="4"/>
  <c r="J42" i="4" s="1"/>
  <c r="J43" i="4" s="1"/>
  <c r="H41" i="4"/>
  <c r="H42" i="4" s="1"/>
  <c r="H43" i="4" s="1"/>
  <c r="H11" i="4"/>
  <c r="H12" i="4" s="1"/>
  <c r="H13" i="4" s="1"/>
  <c r="I101" i="2"/>
  <c r="I102" i="2" s="1"/>
  <c r="I103" i="2" s="1"/>
  <c r="H46" i="2"/>
  <c r="K95" i="2"/>
  <c r="K96" i="2" s="1"/>
  <c r="K97" i="2" s="1"/>
  <c r="J101" i="2"/>
  <c r="J102" i="2" s="1"/>
  <c r="J103" i="2" s="1"/>
  <c r="J95" i="2"/>
  <c r="J96" i="2" s="1"/>
  <c r="J97" i="2" s="1"/>
  <c r="H35" i="3"/>
  <c r="H36" i="3" s="1"/>
  <c r="H37" i="3" s="1"/>
  <c r="K35" i="3"/>
  <c r="K36" i="3" s="1"/>
  <c r="K37" i="3" s="1"/>
  <c r="J35" i="3"/>
  <c r="J36" i="3" s="1"/>
  <c r="J37" i="3" s="1"/>
  <c r="K11" i="1"/>
  <c r="K12" i="1" s="1"/>
  <c r="K13" i="1" s="1"/>
  <c r="J59" i="1"/>
  <c r="J60" i="1" s="1"/>
  <c r="J61" i="1" s="1"/>
  <c r="L59" i="1"/>
  <c r="L60" i="1" s="1"/>
  <c r="L61" i="1" s="1"/>
  <c r="I59" i="1"/>
  <c r="I60" i="1" s="1"/>
  <c r="I61" i="1" s="1"/>
  <c r="M11" i="1"/>
  <c r="M12" i="1" s="1"/>
  <c r="M13" i="1" s="1"/>
  <c r="K89" i="1"/>
  <c r="K90" i="1" s="1"/>
  <c r="K91" i="1" s="1"/>
  <c r="G5" i="4"/>
  <c r="G6" i="4" s="1"/>
  <c r="G7" i="4" s="1"/>
  <c r="O53" i="4"/>
  <c r="O54" i="4" s="1"/>
  <c r="O55" i="4" s="1"/>
  <c r="H59" i="4"/>
  <c r="H60" i="4" s="1"/>
  <c r="H61" i="4" s="1"/>
  <c r="H29" i="1"/>
  <c r="H30" i="1" s="1"/>
  <c r="H31" i="1" s="1"/>
  <c r="F5" i="4"/>
  <c r="F6" i="4" s="1"/>
  <c r="F7" i="4" s="1"/>
  <c r="L47" i="4"/>
  <c r="L48" i="4" s="1"/>
  <c r="L49" i="4" s="1"/>
  <c r="N53" i="4"/>
  <c r="N54" i="4" s="1"/>
  <c r="N55" i="4" s="1"/>
  <c r="J11" i="4"/>
  <c r="J12" i="4" s="1"/>
  <c r="J13" i="4" s="1"/>
  <c r="I5" i="4"/>
  <c r="I6" i="4" s="1"/>
  <c r="I7" i="4" s="1"/>
  <c r="H5" i="4"/>
  <c r="H6" i="4" s="1"/>
  <c r="H7" i="4" s="1"/>
  <c r="I35" i="3"/>
  <c r="I36" i="3" s="1"/>
  <c r="I37" i="3" s="1"/>
  <c r="J47" i="1"/>
  <c r="J48" i="1" s="1"/>
  <c r="J49" i="1" s="1"/>
  <c r="I11" i="1"/>
  <c r="I12" i="1" s="1"/>
  <c r="I13" i="1" s="1"/>
  <c r="G29" i="1"/>
  <c r="G30" i="1" s="1"/>
  <c r="G31" i="1" s="1"/>
  <c r="K5" i="4"/>
  <c r="K6" i="4" s="1"/>
  <c r="K7" i="4" s="1"/>
  <c r="J11" i="1"/>
  <c r="J12" i="1" s="1"/>
  <c r="J13" i="1" s="1"/>
  <c r="H11" i="1"/>
  <c r="H12" i="1" s="1"/>
  <c r="H13" i="1" s="1"/>
  <c r="P47" i="1"/>
  <c r="P48" i="1" s="1"/>
  <c r="P49" i="1" s="1"/>
  <c r="L29" i="1"/>
  <c r="L30" i="1" s="1"/>
  <c r="L31" i="1" s="1"/>
  <c r="N23" i="1"/>
  <c r="N24" i="1" s="1"/>
  <c r="N25" i="1" s="1"/>
  <c r="I17" i="1"/>
  <c r="I18" i="1" s="1"/>
  <c r="I19" i="1" s="1"/>
  <c r="O23" i="1"/>
  <c r="O24" i="1" s="1"/>
  <c r="O25" i="1" s="1"/>
  <c r="M23" i="1"/>
  <c r="M24" i="1" s="1"/>
  <c r="M25" i="1" s="1"/>
  <c r="K47" i="1"/>
  <c r="K48" i="1" s="1"/>
  <c r="K49" i="1" s="1"/>
  <c r="J5" i="1"/>
  <c r="J6" i="1" s="1"/>
  <c r="J7" i="1" s="1"/>
  <c r="K23" i="1"/>
  <c r="K24" i="1" s="1"/>
  <c r="K25" i="1" s="1"/>
  <c r="H17" i="1"/>
  <c r="H18" i="1" s="1"/>
  <c r="H19" i="1" s="1"/>
  <c r="M29" i="1"/>
  <c r="M30" i="1" s="1"/>
  <c r="M31" i="1" s="1"/>
  <c r="P23" i="1"/>
  <c r="P24" i="1" s="1"/>
  <c r="P25" i="1" s="1"/>
  <c r="G17" i="1"/>
  <c r="G18" i="1" s="1"/>
  <c r="G19" i="1" s="1"/>
  <c r="L47" i="1"/>
  <c r="L48" i="1" s="1"/>
  <c r="L49" i="1" s="1"/>
  <c r="Q23" i="1"/>
  <c r="Q24" i="1" s="1"/>
  <c r="Q25" i="1" s="1"/>
  <c r="L23" i="1"/>
  <c r="L24" i="1" s="1"/>
  <c r="L25" i="1" s="1"/>
  <c r="N76" i="3"/>
  <c r="M77" i="3"/>
  <c r="M78" i="3" s="1"/>
  <c r="M79" i="3" s="1"/>
  <c r="O41" i="2"/>
  <c r="O42" i="2" s="1"/>
  <c r="O43" i="2" s="1"/>
  <c r="P40" i="2"/>
  <c r="Q53" i="4"/>
  <c r="Q54" i="4" s="1"/>
  <c r="Q55" i="4" s="1"/>
  <c r="G101" i="3"/>
  <c r="G102" i="3" s="1"/>
  <c r="G103" i="3" s="1"/>
  <c r="F101" i="3"/>
  <c r="F102" i="3" s="1"/>
  <c r="F103" i="3" s="1"/>
  <c r="K5" i="3"/>
  <c r="K6" i="3" s="1"/>
  <c r="K7" i="3" s="1"/>
  <c r="Q59" i="3"/>
  <c r="Q60" i="3" s="1"/>
  <c r="Q61" i="3" s="1"/>
  <c r="L40" i="4"/>
  <c r="K41" i="4"/>
  <c r="K42" i="4" s="1"/>
  <c r="K43" i="4" s="1"/>
  <c r="O59" i="3"/>
  <c r="O60" i="3" s="1"/>
  <c r="O61" i="3" s="1"/>
  <c r="N82" i="3"/>
  <c r="M83" i="3"/>
  <c r="M84" i="3" s="1"/>
  <c r="M85" i="3" s="1"/>
  <c r="W28" i="4"/>
  <c r="V29" i="4"/>
  <c r="V30" i="4" s="1"/>
  <c r="V31" i="4" s="1"/>
  <c r="M34" i="3"/>
  <c r="L35" i="3"/>
  <c r="L36" i="3" s="1"/>
  <c r="L37" i="3" s="1"/>
  <c r="H47" i="2"/>
  <c r="H48" i="2" s="1"/>
  <c r="H49" i="2" s="1"/>
  <c r="I46" i="2"/>
  <c r="V16" i="2"/>
  <c r="U17" i="2"/>
  <c r="U18" i="2" s="1"/>
  <c r="U19" i="2" s="1"/>
  <c r="J112" i="1"/>
  <c r="P53" i="4"/>
  <c r="P54" i="4" s="1"/>
  <c r="P55" i="4" s="1"/>
  <c r="I112" i="3"/>
  <c r="H113" i="3"/>
  <c r="H114" i="3" s="1"/>
  <c r="H115" i="3" s="1"/>
  <c r="N46" i="4"/>
  <c r="M47" i="4"/>
  <c r="M48" i="4" s="1"/>
  <c r="M49" i="4" s="1"/>
  <c r="L5" i="3"/>
  <c r="L6" i="3" s="1"/>
  <c r="L7" i="3" s="1"/>
  <c r="M4" i="3"/>
  <c r="K64" i="1"/>
  <c r="J65" i="1"/>
  <c r="J66" i="1" s="1"/>
  <c r="J67" i="1" s="1"/>
  <c r="K89" i="4"/>
  <c r="K90" i="4" s="1"/>
  <c r="K91" i="4" s="1"/>
  <c r="H113" i="4"/>
  <c r="H114" i="4" s="1"/>
  <c r="H115" i="4" s="1"/>
  <c r="I76" i="4"/>
  <c r="H77" i="4"/>
  <c r="H78" i="4" s="1"/>
  <c r="H79" i="4" s="1"/>
  <c r="L53" i="4"/>
  <c r="L54" i="4" s="1"/>
  <c r="L55" i="4" s="1"/>
  <c r="R53" i="4"/>
  <c r="R54" i="4" s="1"/>
  <c r="R55" i="4" s="1"/>
  <c r="J58" i="4"/>
  <c r="I59" i="4"/>
  <c r="I60" i="4" s="1"/>
  <c r="I61" i="4" s="1"/>
  <c r="H23" i="4"/>
  <c r="H24" i="4" s="1"/>
  <c r="H25" i="4" s="1"/>
  <c r="I22" i="4"/>
  <c r="L10" i="4"/>
  <c r="K11" i="4"/>
  <c r="K12" i="4" s="1"/>
  <c r="K13" i="4" s="1"/>
  <c r="R41" i="3"/>
  <c r="R42" i="3" s="1"/>
  <c r="R43" i="3" s="1"/>
  <c r="K64" i="3"/>
  <c r="J65" i="3"/>
  <c r="J66" i="3" s="1"/>
  <c r="J67" i="3" s="1"/>
  <c r="N76" i="2"/>
  <c r="M77" i="2"/>
  <c r="M78" i="2" s="1"/>
  <c r="M79" i="2" s="1"/>
  <c r="Z5" i="2"/>
  <c r="Z6" i="2" s="1"/>
  <c r="Z7" i="2" s="1"/>
  <c r="H34" i="1"/>
  <c r="G35" i="1"/>
  <c r="G36" i="1" s="1"/>
  <c r="G37" i="1" s="1"/>
  <c r="J17" i="1"/>
  <c r="J18" i="1" s="1"/>
  <c r="J19" i="1" s="1"/>
  <c r="K16" i="1"/>
  <c r="L89" i="4"/>
  <c r="L90" i="4" s="1"/>
  <c r="L91" i="4" s="1"/>
  <c r="M88" i="4"/>
  <c r="M22" i="2"/>
  <c r="L23" i="2"/>
  <c r="L24" i="2" s="1"/>
  <c r="L25" i="2" s="1"/>
  <c r="Q4" i="1"/>
  <c r="P5" i="1"/>
  <c r="P6" i="1" s="1"/>
  <c r="P7" i="1" s="1"/>
  <c r="I35" i="4"/>
  <c r="I36" i="4" s="1"/>
  <c r="I37" i="4" s="1"/>
  <c r="M53" i="4"/>
  <c r="M54" i="4" s="1"/>
  <c r="M55" i="4" s="1"/>
  <c r="J5" i="3"/>
  <c r="J6" i="3" s="1"/>
  <c r="J7" i="3" s="1"/>
  <c r="P59" i="3"/>
  <c r="P60" i="3" s="1"/>
  <c r="P61" i="3" s="1"/>
  <c r="J70" i="3"/>
  <c r="I71" i="3"/>
  <c r="I72" i="3" s="1"/>
  <c r="I73" i="3" s="1"/>
  <c r="S41" i="3"/>
  <c r="S42" i="3" s="1"/>
  <c r="S43" i="3" s="1"/>
  <c r="L28" i="2"/>
  <c r="K29" i="2"/>
  <c r="K30" i="2" s="1"/>
  <c r="K31" i="2" s="1"/>
  <c r="M70" i="2"/>
  <c r="L71" i="2"/>
  <c r="L72" i="2" s="1"/>
  <c r="L73" i="2" s="1"/>
  <c r="O11" i="1"/>
  <c r="O12" i="1" s="1"/>
  <c r="O13" i="1" s="1"/>
  <c r="P10" i="1"/>
  <c r="N58" i="1"/>
  <c r="M59" i="1"/>
  <c r="M60" i="1" s="1"/>
  <c r="M61" i="1" s="1"/>
  <c r="R23" i="1"/>
  <c r="R24" i="1" s="1"/>
  <c r="R25" i="1" s="1"/>
  <c r="S22" i="1"/>
  <c r="L34" i="4"/>
  <c r="K35" i="4"/>
  <c r="K36" i="4" s="1"/>
  <c r="K37" i="4" s="1"/>
  <c r="N28" i="3"/>
  <c r="M29" i="3"/>
  <c r="M30" i="3" s="1"/>
  <c r="M31" i="3" s="1"/>
  <c r="H35" i="4"/>
  <c r="H36" i="4" s="1"/>
  <c r="H37" i="4" s="1"/>
  <c r="H101" i="3"/>
  <c r="H102" i="3" s="1"/>
  <c r="H103" i="3" s="1"/>
  <c r="M4" i="4"/>
  <c r="L5" i="4"/>
  <c r="L6" i="4" s="1"/>
  <c r="L7" i="4" s="1"/>
  <c r="I16" i="4"/>
  <c r="H17" i="4"/>
  <c r="H18" i="4" s="1"/>
  <c r="H19" i="4" s="1"/>
  <c r="N59" i="3"/>
  <c r="N60" i="3" s="1"/>
  <c r="N61" i="3" s="1"/>
  <c r="K23" i="2"/>
  <c r="K24" i="2" s="1"/>
  <c r="K25" i="2" s="1"/>
  <c r="G53" i="3"/>
  <c r="G54" i="3" s="1"/>
  <c r="G55" i="3" s="1"/>
  <c r="H52" i="3"/>
  <c r="M5" i="1"/>
  <c r="M6" i="1" s="1"/>
  <c r="M7" i="1" s="1"/>
  <c r="R58" i="2"/>
  <c r="Q59" i="2"/>
  <c r="Q60" i="2" s="1"/>
  <c r="Q61" i="2" s="1"/>
  <c r="I89" i="1"/>
  <c r="I90" i="1" s="1"/>
  <c r="I91" i="1" s="1"/>
  <c r="J16" i="3"/>
  <c r="I17" i="3"/>
  <c r="I18" i="3" s="1"/>
  <c r="I19" i="3" s="1"/>
  <c r="O5" i="1"/>
  <c r="O6" i="1" s="1"/>
  <c r="O7" i="1" s="1"/>
  <c r="O28" i="1"/>
  <c r="N29" i="1"/>
  <c r="N30" i="1" s="1"/>
  <c r="N31" i="1" s="1"/>
  <c r="H100" i="1"/>
  <c r="G101" i="1"/>
  <c r="G102" i="1" s="1"/>
  <c r="G103" i="1" s="1"/>
  <c r="J70" i="1"/>
  <c r="I71" i="1"/>
  <c r="I72" i="1" s="1"/>
  <c r="I73" i="1" s="1"/>
  <c r="H106" i="1"/>
  <c r="G107" i="1"/>
  <c r="G108" i="1" s="1"/>
  <c r="G109" i="1" s="1"/>
  <c r="R46" i="1"/>
  <c r="Q47" i="1"/>
  <c r="Q48" i="1" s="1"/>
  <c r="Q49" i="1" s="1"/>
  <c r="I118" i="3"/>
  <c r="G124" i="4"/>
  <c r="F125" i="4"/>
  <c r="F126" i="4" s="1"/>
  <c r="F127" i="4" s="1"/>
  <c r="I23" i="2"/>
  <c r="I24" i="2" s="1"/>
  <c r="I25" i="2" s="1"/>
  <c r="J35" i="4"/>
  <c r="J36" i="4" s="1"/>
  <c r="J37" i="4" s="1"/>
  <c r="J5" i="4"/>
  <c r="J6" i="4" s="1"/>
  <c r="J7" i="4" s="1"/>
  <c r="K106" i="4"/>
  <c r="I5" i="3"/>
  <c r="I6" i="3" s="1"/>
  <c r="I7" i="3" s="1"/>
  <c r="I94" i="3"/>
  <c r="H95" i="3"/>
  <c r="H96" i="3" s="1"/>
  <c r="H97" i="3" s="1"/>
  <c r="T41" i="3"/>
  <c r="T42" i="3" s="1"/>
  <c r="T43" i="3" s="1"/>
  <c r="J46" i="3"/>
  <c r="I47" i="3"/>
  <c r="I48" i="3" s="1"/>
  <c r="I49" i="3" s="1"/>
  <c r="J22" i="3"/>
  <c r="I23" i="3"/>
  <c r="I24" i="3" s="1"/>
  <c r="I25" i="3" s="1"/>
  <c r="K77" i="2"/>
  <c r="K78" i="2" s="1"/>
  <c r="K79" i="2" s="1"/>
  <c r="L5" i="1"/>
  <c r="L6" i="1" s="1"/>
  <c r="L7" i="1" s="1"/>
  <c r="L89" i="1"/>
  <c r="L90" i="1" s="1"/>
  <c r="L91" i="1" s="1"/>
  <c r="M94" i="2"/>
  <c r="G53" i="1"/>
  <c r="G54" i="1" s="1"/>
  <c r="G55" i="1" s="1"/>
  <c r="H52" i="1"/>
  <c r="I5" i="1"/>
  <c r="I6" i="1" s="1"/>
  <c r="I7" i="1" s="1"/>
  <c r="J10" i="2"/>
  <c r="I11" i="2"/>
  <c r="I12" i="2" s="1"/>
  <c r="I13" i="2" s="1"/>
  <c r="O47" i="1"/>
  <c r="O48" i="1" s="1"/>
  <c r="O49" i="1" s="1"/>
  <c r="N82" i="1"/>
  <c r="M83" i="1"/>
  <c r="M84" i="1" s="1"/>
  <c r="M85" i="1" s="1"/>
  <c r="L52" i="2"/>
  <c r="K53" i="2"/>
  <c r="K54" i="2" s="1"/>
  <c r="K55" i="2" s="1"/>
  <c r="R4" i="1" l="1"/>
  <c r="Q5" i="1"/>
  <c r="Q6" i="1" s="1"/>
  <c r="Q7" i="1" s="1"/>
  <c r="I34" i="1"/>
  <c r="H35" i="1"/>
  <c r="H36" i="1" s="1"/>
  <c r="H37" i="1" s="1"/>
  <c r="J11" i="2"/>
  <c r="J12" i="2" s="1"/>
  <c r="J13" i="2" s="1"/>
  <c r="K10" i="2"/>
  <c r="I95" i="3"/>
  <c r="I96" i="3" s="1"/>
  <c r="I97" i="3" s="1"/>
  <c r="J94" i="3"/>
  <c r="I106" i="1"/>
  <c r="H107" i="1"/>
  <c r="H108" i="1" s="1"/>
  <c r="H109" i="1" s="1"/>
  <c r="O58" i="1"/>
  <c r="N59" i="1"/>
  <c r="N60" i="1" s="1"/>
  <c r="N61" i="1" s="1"/>
  <c r="M10" i="4"/>
  <c r="L11" i="4"/>
  <c r="L12" i="4" s="1"/>
  <c r="L13" i="4" s="1"/>
  <c r="W16" i="2"/>
  <c r="V17" i="2"/>
  <c r="V18" i="2" s="1"/>
  <c r="V19" i="2" s="1"/>
  <c r="X28" i="4"/>
  <c r="H53" i="1"/>
  <c r="H54" i="1" s="1"/>
  <c r="H55" i="1" s="1"/>
  <c r="I52" i="1"/>
  <c r="K70" i="1"/>
  <c r="J71" i="1"/>
  <c r="J72" i="1" s="1"/>
  <c r="J73" i="1" s="1"/>
  <c r="H124" i="4"/>
  <c r="K16" i="3"/>
  <c r="J17" i="3"/>
  <c r="J18" i="3" s="1"/>
  <c r="J19" i="3" s="1"/>
  <c r="Q10" i="1"/>
  <c r="P11" i="1"/>
  <c r="P12" i="1" s="1"/>
  <c r="P13" i="1" s="1"/>
  <c r="K70" i="3"/>
  <c r="J71" i="3"/>
  <c r="J72" i="3" s="1"/>
  <c r="J73" i="3" s="1"/>
  <c r="N22" i="2"/>
  <c r="M23" i="2"/>
  <c r="M24" i="2" s="1"/>
  <c r="M25" i="2" s="1"/>
  <c r="J22" i="4"/>
  <c r="I23" i="4"/>
  <c r="I24" i="4" s="1"/>
  <c r="I25" i="4" s="1"/>
  <c r="J76" i="4"/>
  <c r="I77" i="4"/>
  <c r="I78" i="4" s="1"/>
  <c r="I79" i="4" s="1"/>
  <c r="O46" i="4"/>
  <c r="N47" i="4"/>
  <c r="N48" i="4" s="1"/>
  <c r="N49" i="4" s="1"/>
  <c r="O82" i="3"/>
  <c r="O28" i="3"/>
  <c r="N29" i="3"/>
  <c r="N30" i="3" s="1"/>
  <c r="N31" i="3" s="1"/>
  <c r="N88" i="4"/>
  <c r="M52" i="2"/>
  <c r="L53" i="2"/>
  <c r="L54" i="2" s="1"/>
  <c r="L55" i="2" s="1"/>
  <c r="J112" i="3"/>
  <c r="I47" i="2"/>
  <c r="I48" i="2" s="1"/>
  <c r="I49" i="2" s="1"/>
  <c r="J46" i="2"/>
  <c r="Q40" i="2"/>
  <c r="P41" i="2"/>
  <c r="P42" i="2" s="1"/>
  <c r="P43" i="2" s="1"/>
  <c r="I100" i="1"/>
  <c r="H101" i="1"/>
  <c r="H102" i="1" s="1"/>
  <c r="H103" i="1" s="1"/>
  <c r="S58" i="2"/>
  <c r="M34" i="4"/>
  <c r="L35" i="4"/>
  <c r="L36" i="4" s="1"/>
  <c r="L37" i="4" s="1"/>
  <c r="N70" i="2"/>
  <c r="M71" i="2"/>
  <c r="M72" i="2" s="1"/>
  <c r="M73" i="2" s="1"/>
  <c r="L16" i="1"/>
  <c r="K17" i="1"/>
  <c r="K18" i="1" s="1"/>
  <c r="K19" i="1" s="1"/>
  <c r="L64" i="3"/>
  <c r="K65" i="3"/>
  <c r="K66" i="3" s="1"/>
  <c r="K67" i="3" s="1"/>
  <c r="O82" i="1"/>
  <c r="K46" i="3"/>
  <c r="J47" i="3"/>
  <c r="J48" i="3" s="1"/>
  <c r="J49" i="3" s="1"/>
  <c r="M5" i="4"/>
  <c r="M6" i="4" s="1"/>
  <c r="M7" i="4" s="1"/>
  <c r="N4" i="4"/>
  <c r="T22" i="1"/>
  <c r="S23" i="1"/>
  <c r="S24" i="1" s="1"/>
  <c r="S25" i="1" s="1"/>
  <c r="K58" i="4"/>
  <c r="J59" i="4"/>
  <c r="J60" i="4" s="1"/>
  <c r="J61" i="4" s="1"/>
  <c r="L64" i="1"/>
  <c r="K65" i="1"/>
  <c r="K66" i="1" s="1"/>
  <c r="K67" i="1" s="1"/>
  <c r="M40" i="4"/>
  <c r="L41" i="4"/>
  <c r="L42" i="4" s="1"/>
  <c r="L43" i="4" s="1"/>
  <c r="O76" i="2"/>
  <c r="N77" i="2"/>
  <c r="N78" i="2" s="1"/>
  <c r="N79" i="2" s="1"/>
  <c r="K22" i="3"/>
  <c r="J23" i="3"/>
  <c r="J24" i="3" s="1"/>
  <c r="J25" i="3" s="1"/>
  <c r="J16" i="4"/>
  <c r="I17" i="4"/>
  <c r="I18" i="4" s="1"/>
  <c r="I19" i="4" s="1"/>
  <c r="S46" i="1"/>
  <c r="R47" i="1"/>
  <c r="R48" i="1" s="1"/>
  <c r="R49" i="1" s="1"/>
  <c r="P28" i="1"/>
  <c r="O29" i="1"/>
  <c r="O30" i="1" s="1"/>
  <c r="O31" i="1" s="1"/>
  <c r="I52" i="3"/>
  <c r="H53" i="3"/>
  <c r="H54" i="3" s="1"/>
  <c r="H55" i="3" s="1"/>
  <c r="M28" i="2"/>
  <c r="L29" i="2"/>
  <c r="L30" i="2" s="1"/>
  <c r="L31" i="2" s="1"/>
  <c r="M5" i="3"/>
  <c r="M6" i="3" s="1"/>
  <c r="M7" i="3" s="1"/>
  <c r="N4" i="3"/>
  <c r="N34" i="3"/>
  <c r="M35" i="3"/>
  <c r="M36" i="3" s="1"/>
  <c r="M37" i="3" s="1"/>
  <c r="O76" i="3"/>
  <c r="N77" i="3"/>
  <c r="N78" i="3" s="1"/>
  <c r="N79" i="3" s="1"/>
  <c r="P76" i="2" l="1"/>
  <c r="O4" i="3"/>
  <c r="N5" i="3"/>
  <c r="N6" i="3" s="1"/>
  <c r="N7" i="3" s="1"/>
  <c r="O4" i="4"/>
  <c r="N5" i="4"/>
  <c r="N6" i="4" s="1"/>
  <c r="N7" i="4" s="1"/>
  <c r="L10" i="2"/>
  <c r="K11" i="2"/>
  <c r="K12" i="2" s="1"/>
  <c r="K13" i="2" s="1"/>
  <c r="K94" i="3"/>
  <c r="J95" i="3"/>
  <c r="J96" i="3" s="1"/>
  <c r="J97" i="3" s="1"/>
  <c r="U22" i="1"/>
  <c r="T23" i="1"/>
  <c r="T24" i="1" s="1"/>
  <c r="T25" i="1" s="1"/>
  <c r="X16" i="2"/>
  <c r="W17" i="2"/>
  <c r="W18" i="2" s="1"/>
  <c r="W19" i="2" s="1"/>
  <c r="T46" i="1"/>
  <c r="S47" i="1"/>
  <c r="S48" i="1" s="1"/>
  <c r="S49" i="1" s="1"/>
  <c r="N40" i="4"/>
  <c r="M41" i="4"/>
  <c r="M42" i="4" s="1"/>
  <c r="M43" i="4" s="1"/>
  <c r="M16" i="1"/>
  <c r="L17" i="1"/>
  <c r="L18" i="1" s="1"/>
  <c r="L19" i="1" s="1"/>
  <c r="J100" i="1"/>
  <c r="I101" i="1"/>
  <c r="I102" i="1" s="1"/>
  <c r="I103" i="1" s="1"/>
  <c r="N52" i="2"/>
  <c r="M53" i="2"/>
  <c r="M54" i="2" s="1"/>
  <c r="M55" i="2" s="1"/>
  <c r="P46" i="4"/>
  <c r="O47" i="4"/>
  <c r="O48" i="4" s="1"/>
  <c r="O49" i="4" s="1"/>
  <c r="L70" i="3"/>
  <c r="K71" i="3"/>
  <c r="K72" i="3" s="1"/>
  <c r="K73" i="3" s="1"/>
  <c r="L70" i="1"/>
  <c r="K71" i="1"/>
  <c r="K72" i="1" s="1"/>
  <c r="K73" i="1" s="1"/>
  <c r="N10" i="4"/>
  <c r="M11" i="4"/>
  <c r="M12" i="4" s="1"/>
  <c r="M13" i="4" s="1"/>
  <c r="J52" i="1"/>
  <c r="I53" i="1"/>
  <c r="I54" i="1" s="1"/>
  <c r="I55" i="1" s="1"/>
  <c r="Q28" i="1"/>
  <c r="P29" i="1"/>
  <c r="P30" i="1" s="1"/>
  <c r="P31" i="1" s="1"/>
  <c r="O22" i="2"/>
  <c r="N23" i="2"/>
  <c r="N24" i="2" s="1"/>
  <c r="N25" i="2" s="1"/>
  <c r="N28" i="2"/>
  <c r="M29" i="2"/>
  <c r="M30" i="2" s="1"/>
  <c r="M31" i="2" s="1"/>
  <c r="K16" i="4"/>
  <c r="J17" i="4"/>
  <c r="J18" i="4" s="1"/>
  <c r="J19" i="4" s="1"/>
  <c r="M64" i="1"/>
  <c r="L65" i="1"/>
  <c r="L66" i="1" s="1"/>
  <c r="L67" i="1" s="1"/>
  <c r="K47" i="3"/>
  <c r="K48" i="3" s="1"/>
  <c r="K49" i="3" s="1"/>
  <c r="L46" i="3"/>
  <c r="O70" i="2"/>
  <c r="N71" i="2"/>
  <c r="N72" i="2" s="1"/>
  <c r="N73" i="2" s="1"/>
  <c r="R40" i="2"/>
  <c r="Q41" i="2"/>
  <c r="Q42" i="2" s="1"/>
  <c r="Q43" i="2" s="1"/>
  <c r="J77" i="4"/>
  <c r="J78" i="4" s="1"/>
  <c r="J79" i="4" s="1"/>
  <c r="K76" i="4"/>
  <c r="R10" i="1"/>
  <c r="Q11" i="1"/>
  <c r="Q12" i="1" s="1"/>
  <c r="Q13" i="1" s="1"/>
  <c r="P58" i="1"/>
  <c r="O59" i="1"/>
  <c r="O60" i="1" s="1"/>
  <c r="O61" i="1" s="1"/>
  <c r="J34" i="1"/>
  <c r="I35" i="1"/>
  <c r="I36" i="1" s="1"/>
  <c r="I37" i="1" s="1"/>
  <c r="O34" i="3"/>
  <c r="N35" i="3"/>
  <c r="N36" i="3" s="1"/>
  <c r="N37" i="3" s="1"/>
  <c r="M64" i="3"/>
  <c r="L65" i="3"/>
  <c r="L66" i="3" s="1"/>
  <c r="L67" i="3" s="1"/>
  <c r="K46" i="2"/>
  <c r="J47" i="2"/>
  <c r="J48" i="2" s="1"/>
  <c r="J49" i="2" s="1"/>
  <c r="P76" i="3"/>
  <c r="J52" i="3"/>
  <c r="I53" i="3"/>
  <c r="I54" i="3" s="1"/>
  <c r="I55" i="3" s="1"/>
  <c r="L22" i="3"/>
  <c r="K23" i="3"/>
  <c r="K24" i="3" s="1"/>
  <c r="K25" i="3" s="1"/>
  <c r="L58" i="4"/>
  <c r="K59" i="4"/>
  <c r="K60" i="4" s="1"/>
  <c r="K61" i="4" s="1"/>
  <c r="N34" i="4"/>
  <c r="M35" i="4"/>
  <c r="M36" i="4" s="1"/>
  <c r="M37" i="4" s="1"/>
  <c r="P28" i="3"/>
  <c r="O29" i="3"/>
  <c r="O30" i="3" s="1"/>
  <c r="O31" i="3" s="1"/>
  <c r="K22" i="4"/>
  <c r="J23" i="4"/>
  <c r="J24" i="4" s="1"/>
  <c r="J25" i="4" s="1"/>
  <c r="L16" i="3"/>
  <c r="K17" i="3"/>
  <c r="K18" i="3" s="1"/>
  <c r="K19" i="3" s="1"/>
  <c r="J106" i="1"/>
  <c r="I107" i="1"/>
  <c r="I108" i="1" s="1"/>
  <c r="I109" i="1" s="1"/>
  <c r="S4" i="1"/>
  <c r="R5" i="1"/>
  <c r="R6" i="1" s="1"/>
  <c r="R7" i="1" s="1"/>
  <c r="M58" i="4" l="1"/>
  <c r="L59" i="4"/>
  <c r="L60" i="4" s="1"/>
  <c r="L61" i="4" s="1"/>
  <c r="O28" i="2"/>
  <c r="N29" i="2"/>
  <c r="N30" i="2" s="1"/>
  <c r="N31" i="2" s="1"/>
  <c r="M46" i="3"/>
  <c r="L47" i="3"/>
  <c r="L48" i="3" s="1"/>
  <c r="L49" i="3" s="1"/>
  <c r="Y16" i="2"/>
  <c r="X17" i="2"/>
  <c r="X18" i="2" s="1"/>
  <c r="X19" i="2" s="1"/>
  <c r="Q58" i="1"/>
  <c r="P59" i="1"/>
  <c r="P60" i="1" s="1"/>
  <c r="P61" i="1" s="1"/>
  <c r="U46" i="1"/>
  <c r="N64" i="3"/>
  <c r="M65" i="3"/>
  <c r="M66" i="3" s="1"/>
  <c r="M67" i="3" s="1"/>
  <c r="K100" i="1"/>
  <c r="J101" i="1"/>
  <c r="J102" i="1" s="1"/>
  <c r="J103" i="1" s="1"/>
  <c r="L76" i="4"/>
  <c r="K77" i="4"/>
  <c r="K78" i="4" s="1"/>
  <c r="K79" i="4" s="1"/>
  <c r="K47" i="2"/>
  <c r="K48" i="2" s="1"/>
  <c r="K49" i="2" s="1"/>
  <c r="L46" i="2"/>
  <c r="O52" i="2"/>
  <c r="N53" i="2"/>
  <c r="N54" i="2" s="1"/>
  <c r="N55" i="2" s="1"/>
  <c r="L22" i="4"/>
  <c r="K23" i="4"/>
  <c r="K24" i="4" s="1"/>
  <c r="K25" i="4" s="1"/>
  <c r="S10" i="1"/>
  <c r="R11" i="1"/>
  <c r="R12" i="1" s="1"/>
  <c r="R13" i="1" s="1"/>
  <c r="P4" i="4"/>
  <c r="O5" i="4"/>
  <c r="O6" i="4" s="1"/>
  <c r="O7" i="4" s="1"/>
  <c r="T4" i="1"/>
  <c r="S5" i="1"/>
  <c r="S6" i="1" s="1"/>
  <c r="S7" i="1" s="1"/>
  <c r="Q28" i="3"/>
  <c r="P29" i="3"/>
  <c r="P30" i="3" s="1"/>
  <c r="P31" i="3" s="1"/>
  <c r="K52" i="3"/>
  <c r="J53" i="3"/>
  <c r="J54" i="3" s="1"/>
  <c r="J55" i="3" s="1"/>
  <c r="O35" i="3"/>
  <c r="O36" i="3" s="1"/>
  <c r="O37" i="3" s="1"/>
  <c r="P34" i="3"/>
  <c r="N64" i="1"/>
  <c r="M65" i="1"/>
  <c r="M66" i="1" s="1"/>
  <c r="M67" i="1" s="1"/>
  <c r="R28" i="1"/>
  <c r="Q29" i="1"/>
  <c r="Q30" i="1" s="1"/>
  <c r="Q31" i="1" s="1"/>
  <c r="M70" i="3"/>
  <c r="L71" i="3"/>
  <c r="L72" i="3" s="1"/>
  <c r="L73" i="3" s="1"/>
  <c r="N16" i="1"/>
  <c r="M17" i="1"/>
  <c r="M18" i="1" s="1"/>
  <c r="M19" i="1" s="1"/>
  <c r="V22" i="1"/>
  <c r="U23" i="1"/>
  <c r="U24" i="1" s="1"/>
  <c r="U25" i="1" s="1"/>
  <c r="P4" i="3"/>
  <c r="O5" i="3"/>
  <c r="O6" i="3" s="1"/>
  <c r="O7" i="3" s="1"/>
  <c r="P70" i="2"/>
  <c r="O71" i="2"/>
  <c r="O72" i="2" s="1"/>
  <c r="O73" i="2" s="1"/>
  <c r="O10" i="4"/>
  <c r="N11" i="4"/>
  <c r="N12" i="4" s="1"/>
  <c r="N13" i="4" s="1"/>
  <c r="P22" i="2"/>
  <c r="O23" i="2"/>
  <c r="O24" i="2" s="1"/>
  <c r="O25" i="2" s="1"/>
  <c r="M16" i="3"/>
  <c r="L17" i="3"/>
  <c r="L18" i="3" s="1"/>
  <c r="L19" i="3" s="1"/>
  <c r="M10" i="2"/>
  <c r="L11" i="2"/>
  <c r="L12" i="2" s="1"/>
  <c r="L13" i="2" s="1"/>
  <c r="M22" i="3"/>
  <c r="L23" i="3"/>
  <c r="L24" i="3" s="1"/>
  <c r="L25" i="3" s="1"/>
  <c r="M70" i="1"/>
  <c r="L71" i="1"/>
  <c r="L72" i="1" s="1"/>
  <c r="L73" i="1" s="1"/>
  <c r="K106" i="1"/>
  <c r="O34" i="4"/>
  <c r="N35" i="4"/>
  <c r="N36" i="4" s="1"/>
  <c r="N37" i="4" s="1"/>
  <c r="K34" i="1"/>
  <c r="J35" i="1"/>
  <c r="J36" i="1" s="1"/>
  <c r="J37" i="1" s="1"/>
  <c r="S40" i="2"/>
  <c r="R41" i="2"/>
  <c r="R42" i="2" s="1"/>
  <c r="R43" i="2" s="1"/>
  <c r="L16" i="4"/>
  <c r="K17" i="4"/>
  <c r="K18" i="4" s="1"/>
  <c r="K19" i="4" s="1"/>
  <c r="K52" i="1"/>
  <c r="J53" i="1"/>
  <c r="J54" i="1" s="1"/>
  <c r="J55" i="1" s="1"/>
  <c r="Q46" i="4"/>
  <c r="P47" i="4"/>
  <c r="P48" i="4" s="1"/>
  <c r="P49" i="4" s="1"/>
  <c r="O40" i="4"/>
  <c r="N41" i="4"/>
  <c r="N42" i="4" s="1"/>
  <c r="N43" i="4" s="1"/>
  <c r="L94" i="3"/>
  <c r="K95" i="3"/>
  <c r="K96" i="3" s="1"/>
  <c r="K97" i="3" s="1"/>
  <c r="M94" i="3" l="1"/>
  <c r="L17" i="4"/>
  <c r="L18" i="4" s="1"/>
  <c r="L19" i="4" s="1"/>
  <c r="M16" i="4"/>
  <c r="N16" i="3"/>
  <c r="M17" i="3"/>
  <c r="M18" i="3" s="1"/>
  <c r="M19" i="3" s="1"/>
  <c r="P5" i="3"/>
  <c r="P6" i="3" s="1"/>
  <c r="P7" i="3" s="1"/>
  <c r="Q4" i="3"/>
  <c r="S28" i="1"/>
  <c r="R29" i="1"/>
  <c r="R30" i="1" s="1"/>
  <c r="R31" i="1" s="1"/>
  <c r="R28" i="3"/>
  <c r="Q29" i="3"/>
  <c r="Q30" i="3" s="1"/>
  <c r="Q31" i="3" s="1"/>
  <c r="L23" i="4"/>
  <c r="L24" i="4" s="1"/>
  <c r="L25" i="4" s="1"/>
  <c r="M22" i="4"/>
  <c r="L100" i="1"/>
  <c r="Z16" i="2"/>
  <c r="O41" i="4"/>
  <c r="O42" i="4" s="1"/>
  <c r="O43" i="4" s="1"/>
  <c r="P40" i="4"/>
  <c r="T40" i="2"/>
  <c r="S41" i="2"/>
  <c r="S42" i="2" s="1"/>
  <c r="S43" i="2" s="1"/>
  <c r="N70" i="1"/>
  <c r="M71" i="1"/>
  <c r="M72" i="1" s="1"/>
  <c r="M73" i="1" s="1"/>
  <c r="Q22" i="2"/>
  <c r="P23" i="2"/>
  <c r="P24" i="2" s="1"/>
  <c r="P25" i="2" s="1"/>
  <c r="W22" i="1"/>
  <c r="V23" i="1"/>
  <c r="V24" i="1" s="1"/>
  <c r="V25" i="1" s="1"/>
  <c r="O64" i="1"/>
  <c r="N65" i="1"/>
  <c r="N66" i="1" s="1"/>
  <c r="N67" i="1" s="1"/>
  <c r="U4" i="1"/>
  <c r="T5" i="1"/>
  <c r="T6" i="1" s="1"/>
  <c r="T7" i="1" s="1"/>
  <c r="P52" i="2"/>
  <c r="O53" i="2"/>
  <c r="O54" i="2" s="1"/>
  <c r="O55" i="2" s="1"/>
  <c r="O64" i="3"/>
  <c r="N65" i="3"/>
  <c r="N66" i="3" s="1"/>
  <c r="N67" i="3" s="1"/>
  <c r="N46" i="3"/>
  <c r="M47" i="3"/>
  <c r="M48" i="3" s="1"/>
  <c r="M49" i="3" s="1"/>
  <c r="Q34" i="3"/>
  <c r="P35" i="3"/>
  <c r="P36" i="3" s="1"/>
  <c r="P37" i="3" s="1"/>
  <c r="M46" i="2"/>
  <c r="L47" i="2"/>
  <c r="L48" i="2" s="1"/>
  <c r="L49" i="2" s="1"/>
  <c r="R46" i="4"/>
  <c r="Q47" i="4"/>
  <c r="Q48" i="4" s="1"/>
  <c r="Q49" i="4" s="1"/>
  <c r="L34" i="1"/>
  <c r="K35" i="1"/>
  <c r="K36" i="1" s="1"/>
  <c r="K37" i="1" s="1"/>
  <c r="N22" i="3"/>
  <c r="M23" i="3"/>
  <c r="M24" i="3" s="1"/>
  <c r="M25" i="3" s="1"/>
  <c r="P10" i="4"/>
  <c r="O11" i="4"/>
  <c r="O12" i="4" s="1"/>
  <c r="O13" i="4" s="1"/>
  <c r="O16" i="1"/>
  <c r="N17" i="1"/>
  <c r="N18" i="1" s="1"/>
  <c r="N19" i="1" s="1"/>
  <c r="Q4" i="4"/>
  <c r="P5" i="4"/>
  <c r="P6" i="4" s="1"/>
  <c r="P7" i="4" s="1"/>
  <c r="P28" i="2"/>
  <c r="O29" i="2"/>
  <c r="O30" i="2" s="1"/>
  <c r="O31" i="2" s="1"/>
  <c r="L52" i="1"/>
  <c r="K53" i="1"/>
  <c r="K54" i="1" s="1"/>
  <c r="K55" i="1" s="1"/>
  <c r="O35" i="4"/>
  <c r="O36" i="4" s="1"/>
  <c r="O37" i="4" s="1"/>
  <c r="P34" i="4"/>
  <c r="N10" i="2"/>
  <c r="M11" i="2"/>
  <c r="M12" i="2" s="1"/>
  <c r="M13" i="2" s="1"/>
  <c r="Q70" i="2"/>
  <c r="N70" i="3"/>
  <c r="M71" i="3"/>
  <c r="M72" i="3" s="1"/>
  <c r="M73" i="3" s="1"/>
  <c r="L52" i="3"/>
  <c r="K53" i="3"/>
  <c r="K54" i="3" s="1"/>
  <c r="K55" i="3" s="1"/>
  <c r="T10" i="1"/>
  <c r="S11" i="1"/>
  <c r="S12" i="1" s="1"/>
  <c r="S13" i="1" s="1"/>
  <c r="M76" i="4"/>
  <c r="L77" i="4"/>
  <c r="L78" i="4" s="1"/>
  <c r="L79" i="4" s="1"/>
  <c r="R58" i="1"/>
  <c r="Q59" i="1"/>
  <c r="Q60" i="1" s="1"/>
  <c r="Q61" i="1" s="1"/>
  <c r="N58" i="4"/>
  <c r="M59" i="4"/>
  <c r="M60" i="4" s="1"/>
  <c r="M61" i="4" s="1"/>
  <c r="R4" i="3" l="1"/>
  <c r="Q5" i="3"/>
  <c r="Q6" i="3" s="1"/>
  <c r="Q7" i="3" s="1"/>
  <c r="N76" i="4"/>
  <c r="M77" i="4"/>
  <c r="M78" i="4" s="1"/>
  <c r="M79" i="4" s="1"/>
  <c r="Q28" i="2"/>
  <c r="P29" i="2"/>
  <c r="P30" i="2" s="1"/>
  <c r="P31" i="2" s="1"/>
  <c r="O22" i="3"/>
  <c r="N23" i="3"/>
  <c r="N24" i="3" s="1"/>
  <c r="N25" i="3" s="1"/>
  <c r="R34" i="3"/>
  <c r="Q35" i="3"/>
  <c r="Q36" i="3" s="1"/>
  <c r="Q37" i="3" s="1"/>
  <c r="V4" i="1"/>
  <c r="U5" i="1"/>
  <c r="U6" i="1" s="1"/>
  <c r="U7" i="1" s="1"/>
  <c r="O70" i="1"/>
  <c r="N71" i="1"/>
  <c r="N72" i="1" s="1"/>
  <c r="N73" i="1" s="1"/>
  <c r="N22" i="4"/>
  <c r="M23" i="4"/>
  <c r="M24" i="4" s="1"/>
  <c r="M25" i="4" s="1"/>
  <c r="U10" i="1"/>
  <c r="T11" i="1"/>
  <c r="T12" i="1" s="1"/>
  <c r="T13" i="1" s="1"/>
  <c r="Q40" i="4"/>
  <c r="P41" i="4"/>
  <c r="P42" i="4" s="1"/>
  <c r="P43" i="4" s="1"/>
  <c r="N16" i="4"/>
  <c r="M17" i="4"/>
  <c r="M18" i="4" s="1"/>
  <c r="M19" i="4" s="1"/>
  <c r="O10" i="2"/>
  <c r="N11" i="2"/>
  <c r="N12" i="2" s="1"/>
  <c r="N13" i="2" s="1"/>
  <c r="R4" i="4"/>
  <c r="Q5" i="4"/>
  <c r="Q6" i="4" s="1"/>
  <c r="Q7" i="4" s="1"/>
  <c r="M34" i="1"/>
  <c r="L35" i="1"/>
  <c r="L36" i="1" s="1"/>
  <c r="L37" i="1" s="1"/>
  <c r="O46" i="3"/>
  <c r="N47" i="3"/>
  <c r="N48" i="3" s="1"/>
  <c r="N49" i="3" s="1"/>
  <c r="P64" i="1"/>
  <c r="O65" i="1"/>
  <c r="O66" i="1" s="1"/>
  <c r="O67" i="1" s="1"/>
  <c r="U40" i="2"/>
  <c r="T41" i="2"/>
  <c r="T42" i="2" s="1"/>
  <c r="T43" i="2" s="1"/>
  <c r="O16" i="3"/>
  <c r="N17" i="3"/>
  <c r="N18" i="3" s="1"/>
  <c r="N19" i="3" s="1"/>
  <c r="Q34" i="4"/>
  <c r="P35" i="4"/>
  <c r="P36" i="4" s="1"/>
  <c r="P37" i="4" s="1"/>
  <c r="O58" i="4"/>
  <c r="N59" i="4"/>
  <c r="N60" i="4" s="1"/>
  <c r="N61" i="4" s="1"/>
  <c r="L53" i="3"/>
  <c r="L54" i="3" s="1"/>
  <c r="L55" i="3" s="1"/>
  <c r="M52" i="3"/>
  <c r="P16" i="1"/>
  <c r="O17" i="1"/>
  <c r="O18" i="1" s="1"/>
  <c r="O19" i="1" s="1"/>
  <c r="S46" i="4"/>
  <c r="R47" i="4"/>
  <c r="R48" i="4" s="1"/>
  <c r="R49" i="4" s="1"/>
  <c r="P64" i="3"/>
  <c r="O65" i="3"/>
  <c r="O66" i="3" s="1"/>
  <c r="O67" i="3" s="1"/>
  <c r="X22" i="1"/>
  <c r="W23" i="1"/>
  <c r="W24" i="1" s="1"/>
  <c r="W25" i="1" s="1"/>
  <c r="S28" i="3"/>
  <c r="R29" i="3"/>
  <c r="R30" i="3" s="1"/>
  <c r="R31" i="3" s="1"/>
  <c r="S58" i="1"/>
  <c r="O70" i="3"/>
  <c r="N71" i="3"/>
  <c r="N72" i="3" s="1"/>
  <c r="N73" i="3" s="1"/>
  <c r="L53" i="1"/>
  <c r="L54" i="1" s="1"/>
  <c r="L55" i="1" s="1"/>
  <c r="M52" i="1"/>
  <c r="Q10" i="4"/>
  <c r="P11" i="4"/>
  <c r="P12" i="4" s="1"/>
  <c r="P13" i="4" s="1"/>
  <c r="N46" i="2"/>
  <c r="M47" i="2"/>
  <c r="M48" i="2" s="1"/>
  <c r="M49" i="2" s="1"/>
  <c r="Q52" i="2"/>
  <c r="P53" i="2"/>
  <c r="P54" i="2" s="1"/>
  <c r="P55" i="2" s="1"/>
  <c r="R22" i="2"/>
  <c r="Q23" i="2"/>
  <c r="Q24" i="2" s="1"/>
  <c r="Q25" i="2" s="1"/>
  <c r="T28" i="1"/>
  <c r="S29" i="1"/>
  <c r="S30" i="1" s="1"/>
  <c r="S31" i="1" s="1"/>
  <c r="R52" i="2" l="1"/>
  <c r="Q53" i="2"/>
  <c r="Q54" i="2" s="1"/>
  <c r="Q55" i="2" s="1"/>
  <c r="P70" i="3"/>
  <c r="O71" i="3"/>
  <c r="O72" i="3" s="1"/>
  <c r="O73" i="3" s="1"/>
  <c r="Q64" i="3"/>
  <c r="P65" i="3"/>
  <c r="P66" i="3" s="1"/>
  <c r="P67" i="3" s="1"/>
  <c r="P58" i="4"/>
  <c r="O59" i="4"/>
  <c r="O60" i="4" s="1"/>
  <c r="O61" i="4" s="1"/>
  <c r="Q64" i="1"/>
  <c r="P65" i="1"/>
  <c r="P66" i="1" s="1"/>
  <c r="P67" i="1" s="1"/>
  <c r="P10" i="2"/>
  <c r="O11" i="2"/>
  <c r="O12" i="2" s="1"/>
  <c r="O13" i="2" s="1"/>
  <c r="O22" i="4"/>
  <c r="N23" i="4"/>
  <c r="N24" i="4" s="1"/>
  <c r="N25" i="4" s="1"/>
  <c r="P22" i="3"/>
  <c r="O23" i="3"/>
  <c r="O24" i="3" s="1"/>
  <c r="O25" i="3" s="1"/>
  <c r="P46" i="3"/>
  <c r="O47" i="3"/>
  <c r="O48" i="3" s="1"/>
  <c r="O49" i="3" s="1"/>
  <c r="N47" i="2"/>
  <c r="N48" i="2" s="1"/>
  <c r="N49" i="2" s="1"/>
  <c r="O46" i="2"/>
  <c r="R34" i="4"/>
  <c r="Q35" i="4"/>
  <c r="Q36" i="4" s="1"/>
  <c r="Q37" i="4" s="1"/>
  <c r="O16" i="4"/>
  <c r="N17" i="4"/>
  <c r="N18" i="4" s="1"/>
  <c r="N19" i="4" s="1"/>
  <c r="U28" i="1"/>
  <c r="T29" i="1"/>
  <c r="T30" i="1" s="1"/>
  <c r="T31" i="1" s="1"/>
  <c r="R10" i="4"/>
  <c r="Q11" i="4"/>
  <c r="Q12" i="4" s="1"/>
  <c r="Q13" i="4" s="1"/>
  <c r="T28" i="3"/>
  <c r="S29" i="3"/>
  <c r="S30" i="3" s="1"/>
  <c r="S31" i="3" s="1"/>
  <c r="Q16" i="1"/>
  <c r="P17" i="1"/>
  <c r="P18" i="1" s="1"/>
  <c r="P19" i="1" s="1"/>
  <c r="P16" i="3"/>
  <c r="O17" i="3"/>
  <c r="O18" i="3" s="1"/>
  <c r="O19" i="3" s="1"/>
  <c r="N34" i="1"/>
  <c r="M35" i="1"/>
  <c r="M36" i="1" s="1"/>
  <c r="M37" i="1" s="1"/>
  <c r="R40" i="4"/>
  <c r="Q41" i="4"/>
  <c r="Q42" i="4" s="1"/>
  <c r="Q43" i="4" s="1"/>
  <c r="W4" i="1"/>
  <c r="V5" i="1"/>
  <c r="V6" i="1" s="1"/>
  <c r="V7" i="1" s="1"/>
  <c r="O76" i="4"/>
  <c r="N77" i="4"/>
  <c r="N78" i="4" s="1"/>
  <c r="N79" i="4" s="1"/>
  <c r="R28" i="2"/>
  <c r="Q29" i="2"/>
  <c r="Q30" i="2" s="1"/>
  <c r="Q31" i="2" s="1"/>
  <c r="M53" i="1"/>
  <c r="M54" i="1" s="1"/>
  <c r="M55" i="1" s="1"/>
  <c r="N52" i="1"/>
  <c r="T46" i="4"/>
  <c r="S47" i="4"/>
  <c r="S48" i="4" s="1"/>
  <c r="S49" i="4" s="1"/>
  <c r="P70" i="1"/>
  <c r="O71" i="1"/>
  <c r="O72" i="1" s="1"/>
  <c r="O73" i="1" s="1"/>
  <c r="N52" i="3"/>
  <c r="M53" i="3"/>
  <c r="M54" i="3" s="1"/>
  <c r="M55" i="3" s="1"/>
  <c r="S22" i="2"/>
  <c r="R23" i="2"/>
  <c r="R24" i="2" s="1"/>
  <c r="R25" i="2" s="1"/>
  <c r="Y22" i="1"/>
  <c r="V40" i="2"/>
  <c r="S4" i="4"/>
  <c r="R5" i="4"/>
  <c r="R6" i="4" s="1"/>
  <c r="R7" i="4" s="1"/>
  <c r="V10" i="1"/>
  <c r="U11" i="1"/>
  <c r="U12" i="1" s="1"/>
  <c r="U13" i="1" s="1"/>
  <c r="S34" i="3"/>
  <c r="R35" i="3"/>
  <c r="R36" i="3" s="1"/>
  <c r="R37" i="3" s="1"/>
  <c r="S4" i="3"/>
  <c r="R5" i="3"/>
  <c r="R6" i="3" s="1"/>
  <c r="R7" i="3" s="1"/>
  <c r="T34" i="3" l="1"/>
  <c r="S35" i="3"/>
  <c r="S36" i="3" s="1"/>
  <c r="S37" i="3" s="1"/>
  <c r="U46" i="4"/>
  <c r="X4" i="1"/>
  <c r="W5" i="1"/>
  <c r="W6" i="1" s="1"/>
  <c r="W7" i="1" s="1"/>
  <c r="R16" i="1"/>
  <c r="Q17" i="1"/>
  <c r="Q18" i="1" s="1"/>
  <c r="Q19" i="1" s="1"/>
  <c r="P16" i="4"/>
  <c r="O17" i="4"/>
  <c r="O18" i="4" s="1"/>
  <c r="O19" i="4" s="1"/>
  <c r="Q22" i="3"/>
  <c r="P23" i="3"/>
  <c r="P24" i="3" s="1"/>
  <c r="P25" i="3" s="1"/>
  <c r="Q58" i="4"/>
  <c r="P59" i="4"/>
  <c r="P60" i="4" s="1"/>
  <c r="P61" i="4" s="1"/>
  <c r="N53" i="1"/>
  <c r="N54" i="1" s="1"/>
  <c r="N55" i="1" s="1"/>
  <c r="O52" i="1"/>
  <c r="T4" i="4"/>
  <c r="S5" i="4"/>
  <c r="S6" i="4" s="1"/>
  <c r="S7" i="4" s="1"/>
  <c r="N53" i="3"/>
  <c r="N54" i="3" s="1"/>
  <c r="N55" i="3" s="1"/>
  <c r="O52" i="3"/>
  <c r="S28" i="2"/>
  <c r="R29" i="2"/>
  <c r="R30" i="2" s="1"/>
  <c r="R31" i="2" s="1"/>
  <c r="O34" i="1"/>
  <c r="N35" i="1"/>
  <c r="N36" i="1" s="1"/>
  <c r="N37" i="1" s="1"/>
  <c r="S10" i="4"/>
  <c r="R11" i="4"/>
  <c r="R12" i="4" s="1"/>
  <c r="R13" i="4" s="1"/>
  <c r="Q10" i="2"/>
  <c r="P11" i="2"/>
  <c r="P12" i="2" s="1"/>
  <c r="P13" i="2" s="1"/>
  <c r="Q70" i="3"/>
  <c r="U28" i="3"/>
  <c r="T29" i="3"/>
  <c r="T30" i="3" s="1"/>
  <c r="T31" i="3" s="1"/>
  <c r="O23" i="4"/>
  <c r="O24" i="4" s="1"/>
  <c r="O25" i="4" s="1"/>
  <c r="P22" i="4"/>
  <c r="W10" i="1"/>
  <c r="V11" i="1"/>
  <c r="V12" i="1" s="1"/>
  <c r="V13" i="1" s="1"/>
  <c r="T22" i="2"/>
  <c r="S23" i="2"/>
  <c r="S24" i="2" s="1"/>
  <c r="S25" i="2" s="1"/>
  <c r="S40" i="4"/>
  <c r="R41" i="4"/>
  <c r="R42" i="4" s="1"/>
  <c r="R43" i="4" s="1"/>
  <c r="S34" i="4"/>
  <c r="R35" i="4"/>
  <c r="R36" i="4" s="1"/>
  <c r="R37" i="4" s="1"/>
  <c r="R64" i="3"/>
  <c r="R65" i="3" s="1"/>
  <c r="O47" i="2"/>
  <c r="O48" i="2" s="1"/>
  <c r="O49" i="2" s="1"/>
  <c r="P46" i="2"/>
  <c r="T4" i="3"/>
  <c r="S5" i="3"/>
  <c r="S6" i="3" s="1"/>
  <c r="S7" i="3" s="1"/>
  <c r="Q70" i="1"/>
  <c r="P76" i="4"/>
  <c r="Q16" i="3"/>
  <c r="P17" i="3"/>
  <c r="P18" i="3" s="1"/>
  <c r="P19" i="3" s="1"/>
  <c r="V28" i="1"/>
  <c r="U29" i="1"/>
  <c r="U30" i="1" s="1"/>
  <c r="U31" i="1" s="1"/>
  <c r="Q46" i="3"/>
  <c r="P47" i="3"/>
  <c r="P48" i="3" s="1"/>
  <c r="P49" i="3" s="1"/>
  <c r="R64" i="1"/>
  <c r="R65" i="1" s="1"/>
  <c r="S52" i="2"/>
  <c r="R53" i="2"/>
  <c r="R54" i="2" s="1"/>
  <c r="R55" i="2" s="1"/>
  <c r="V29" i="1" l="1"/>
  <c r="V30" i="1" s="1"/>
  <c r="V31" i="1" s="1"/>
  <c r="W28" i="1"/>
  <c r="U4" i="3"/>
  <c r="T5" i="3"/>
  <c r="T6" i="3" s="1"/>
  <c r="T7" i="3" s="1"/>
  <c r="T40" i="4"/>
  <c r="S41" i="4"/>
  <c r="S42" i="4" s="1"/>
  <c r="S43" i="4" s="1"/>
  <c r="V28" i="3"/>
  <c r="U29" i="3"/>
  <c r="U30" i="3" s="1"/>
  <c r="U31" i="3" s="1"/>
  <c r="P34" i="1"/>
  <c r="O35" i="1"/>
  <c r="O36" i="1" s="1"/>
  <c r="O37" i="1" s="1"/>
  <c r="S16" i="1"/>
  <c r="R17" i="1"/>
  <c r="R18" i="1" s="1"/>
  <c r="R19" i="1" s="1"/>
  <c r="P47" i="2"/>
  <c r="P48" i="2" s="1"/>
  <c r="P49" i="2" s="1"/>
  <c r="Q46" i="2"/>
  <c r="O53" i="1"/>
  <c r="O54" i="1" s="1"/>
  <c r="O55" i="1" s="1"/>
  <c r="P52" i="1"/>
  <c r="T52" i="2"/>
  <c r="R16" i="3"/>
  <c r="Q17" i="3"/>
  <c r="Q18" i="3" s="1"/>
  <c r="Q19" i="3" s="1"/>
  <c r="U22" i="2"/>
  <c r="T23" i="2"/>
  <c r="T24" i="2" s="1"/>
  <c r="T25" i="2" s="1"/>
  <c r="T28" i="2"/>
  <c r="S29" i="2"/>
  <c r="S30" i="2" s="1"/>
  <c r="S31" i="2" s="1"/>
  <c r="R58" i="4"/>
  <c r="Q59" i="4"/>
  <c r="Q60" i="4" s="1"/>
  <c r="Q61" i="4" s="1"/>
  <c r="X5" i="1"/>
  <c r="X6" i="1" s="1"/>
  <c r="X7" i="1" s="1"/>
  <c r="Y4" i="1"/>
  <c r="O53" i="3"/>
  <c r="O54" i="3" s="1"/>
  <c r="O55" i="3" s="1"/>
  <c r="P52" i="3"/>
  <c r="W11" i="1"/>
  <c r="W12" i="1" s="1"/>
  <c r="W13" i="1" s="1"/>
  <c r="X10" i="1"/>
  <c r="R10" i="2"/>
  <c r="Q11" i="2"/>
  <c r="Q12" i="2" s="1"/>
  <c r="Q13" i="2" s="1"/>
  <c r="R22" i="3"/>
  <c r="Q23" i="3"/>
  <c r="Q24" i="3" s="1"/>
  <c r="Q25" i="3" s="1"/>
  <c r="P23" i="4"/>
  <c r="P24" i="4" s="1"/>
  <c r="P25" i="4" s="1"/>
  <c r="Q22" i="4"/>
  <c r="R46" i="3"/>
  <c r="Q47" i="3"/>
  <c r="Q48" i="3" s="1"/>
  <c r="Q49" i="3" s="1"/>
  <c r="T34" i="4"/>
  <c r="S35" i="4"/>
  <c r="S36" i="4" s="1"/>
  <c r="S37" i="4" s="1"/>
  <c r="T10" i="4"/>
  <c r="S11" i="4"/>
  <c r="S12" i="4" s="1"/>
  <c r="S13" i="4" s="1"/>
  <c r="T5" i="4"/>
  <c r="T6" i="4" s="1"/>
  <c r="T7" i="4" s="1"/>
  <c r="U4" i="4"/>
  <c r="P17" i="4"/>
  <c r="P18" i="4" s="1"/>
  <c r="P19" i="4" s="1"/>
  <c r="Q16" i="4"/>
  <c r="U34" i="3"/>
  <c r="T35" i="3"/>
  <c r="T36" i="3" s="1"/>
  <c r="T37" i="3" s="1"/>
  <c r="R16" i="4" l="1"/>
  <c r="Q17" i="4"/>
  <c r="Q18" i="4" s="1"/>
  <c r="Q19" i="4" s="1"/>
  <c r="U28" i="2"/>
  <c r="T29" i="2"/>
  <c r="T30" i="2" s="1"/>
  <c r="T31" i="2" s="1"/>
  <c r="W28" i="3"/>
  <c r="V29" i="3"/>
  <c r="V30" i="3" s="1"/>
  <c r="V31" i="3" s="1"/>
  <c r="Y10" i="1"/>
  <c r="X11" i="1"/>
  <c r="X12" i="1" s="1"/>
  <c r="X13" i="1" s="1"/>
  <c r="P53" i="1"/>
  <c r="P54" i="1" s="1"/>
  <c r="P55" i="1" s="1"/>
  <c r="Q52" i="1"/>
  <c r="S46" i="3"/>
  <c r="R47" i="3"/>
  <c r="R48" i="3" s="1"/>
  <c r="R49" i="3" s="1"/>
  <c r="U5" i="4"/>
  <c r="U6" i="4" s="1"/>
  <c r="U7" i="4" s="1"/>
  <c r="V4" i="4"/>
  <c r="R22" i="4"/>
  <c r="Q23" i="4"/>
  <c r="Q24" i="4" s="1"/>
  <c r="Q25" i="4" s="1"/>
  <c r="Q52" i="3"/>
  <c r="P53" i="3"/>
  <c r="P54" i="3" s="1"/>
  <c r="P55" i="3" s="1"/>
  <c r="Q47" i="2"/>
  <c r="Q48" i="2" s="1"/>
  <c r="Q49" i="2" s="1"/>
  <c r="R46" i="2"/>
  <c r="Z4" i="1"/>
  <c r="Y5" i="1"/>
  <c r="Y6" i="1" s="1"/>
  <c r="Y7" i="1" s="1"/>
  <c r="V22" i="2"/>
  <c r="U23" i="2"/>
  <c r="U24" i="2" s="1"/>
  <c r="U25" i="2" s="1"/>
  <c r="U40" i="4"/>
  <c r="T41" i="4"/>
  <c r="T42" i="4" s="1"/>
  <c r="T43" i="4" s="1"/>
  <c r="U10" i="4"/>
  <c r="T11" i="4"/>
  <c r="T12" i="4" s="1"/>
  <c r="T13" i="4" s="1"/>
  <c r="S22" i="3"/>
  <c r="R23" i="3"/>
  <c r="R24" i="3" s="1"/>
  <c r="R25" i="3" s="1"/>
  <c r="S16" i="3"/>
  <c r="R17" i="3"/>
  <c r="R18" i="3" s="1"/>
  <c r="R19" i="3" s="1"/>
  <c r="T16" i="1"/>
  <c r="S17" i="1"/>
  <c r="S18" i="1" s="1"/>
  <c r="S19" i="1" s="1"/>
  <c r="U5" i="3"/>
  <c r="U6" i="3" s="1"/>
  <c r="U7" i="3" s="1"/>
  <c r="V4" i="3"/>
  <c r="X28" i="1"/>
  <c r="V34" i="3"/>
  <c r="U35" i="3"/>
  <c r="U36" i="3" s="1"/>
  <c r="U37" i="3" s="1"/>
  <c r="U34" i="4"/>
  <c r="T35" i="4"/>
  <c r="T36" i="4" s="1"/>
  <c r="T37" i="4" s="1"/>
  <c r="R11" i="2"/>
  <c r="R12" i="2" s="1"/>
  <c r="R13" i="2" s="1"/>
  <c r="S10" i="2"/>
  <c r="S58" i="4"/>
  <c r="Q34" i="1"/>
  <c r="P35" i="1"/>
  <c r="P36" i="1" s="1"/>
  <c r="P37" i="1" s="1"/>
  <c r="R34" i="1" l="1"/>
  <c r="Q35" i="1"/>
  <c r="Q36" i="1" s="1"/>
  <c r="Q37" i="1" s="1"/>
  <c r="W34" i="3"/>
  <c r="T16" i="3"/>
  <c r="S17" i="3"/>
  <c r="S18" i="3" s="1"/>
  <c r="S19" i="3" s="1"/>
  <c r="W22" i="2"/>
  <c r="V23" i="2"/>
  <c r="V24" i="2" s="1"/>
  <c r="V25" i="2" s="1"/>
  <c r="S22" i="4"/>
  <c r="R23" i="4"/>
  <c r="R24" i="4" s="1"/>
  <c r="R25" i="4" s="1"/>
  <c r="Z10" i="1"/>
  <c r="Y11" i="1"/>
  <c r="Y12" i="1" s="1"/>
  <c r="Y13" i="1" s="1"/>
  <c r="W4" i="4"/>
  <c r="V5" i="4"/>
  <c r="V6" i="4" s="1"/>
  <c r="V7" i="4" s="1"/>
  <c r="T22" i="3"/>
  <c r="S23" i="3"/>
  <c r="S24" i="3" s="1"/>
  <c r="S25" i="3" s="1"/>
  <c r="T10" i="2"/>
  <c r="S11" i="2"/>
  <c r="S12" i="2" s="1"/>
  <c r="S13" i="2" s="1"/>
  <c r="S46" i="2"/>
  <c r="R47" i="2"/>
  <c r="R48" i="2" s="1"/>
  <c r="R49" i="2" s="1"/>
  <c r="X28" i="3"/>
  <c r="W4" i="3"/>
  <c r="V5" i="3"/>
  <c r="V6" i="3" s="1"/>
  <c r="V7" i="3" s="1"/>
  <c r="V10" i="4"/>
  <c r="U11" i="4"/>
  <c r="U12" i="4" s="1"/>
  <c r="U13" i="4" s="1"/>
  <c r="S47" i="3"/>
  <c r="S48" i="3" s="1"/>
  <c r="S49" i="3" s="1"/>
  <c r="T46" i="3"/>
  <c r="V28" i="2"/>
  <c r="U29" i="2"/>
  <c r="U30" i="2" s="1"/>
  <c r="U31" i="2" s="1"/>
  <c r="R52" i="1"/>
  <c r="Q53" i="1"/>
  <c r="Q54" i="1" s="1"/>
  <c r="Q55" i="1" s="1"/>
  <c r="AA4" i="1"/>
  <c r="Z5" i="1"/>
  <c r="Z6" i="1" s="1"/>
  <c r="Z7" i="1" s="1"/>
  <c r="V34" i="4"/>
  <c r="U35" i="4"/>
  <c r="U36" i="4" s="1"/>
  <c r="U37" i="4" s="1"/>
  <c r="U16" i="1"/>
  <c r="T17" i="1"/>
  <c r="T18" i="1" s="1"/>
  <c r="T19" i="1" s="1"/>
  <c r="V40" i="4"/>
  <c r="R52" i="3"/>
  <c r="Q53" i="3"/>
  <c r="Q54" i="3" s="1"/>
  <c r="Q55" i="3" s="1"/>
  <c r="S16" i="4"/>
  <c r="R17" i="4"/>
  <c r="R18" i="4" s="1"/>
  <c r="R19" i="4" s="1"/>
  <c r="U22" i="3" l="1"/>
  <c r="T23" i="3"/>
  <c r="T24" i="3" s="1"/>
  <c r="T25" i="3" s="1"/>
  <c r="U46" i="3"/>
  <c r="S52" i="1"/>
  <c r="R53" i="1"/>
  <c r="R54" i="1" s="1"/>
  <c r="R55" i="1" s="1"/>
  <c r="T16" i="4"/>
  <c r="S17" i="4"/>
  <c r="S18" i="4" s="1"/>
  <c r="S19" i="4" s="1"/>
  <c r="W34" i="4"/>
  <c r="S47" i="2"/>
  <c r="S48" i="2" s="1"/>
  <c r="S49" i="2" s="1"/>
  <c r="T46" i="2"/>
  <c r="AA10" i="1"/>
  <c r="X22" i="2"/>
  <c r="W23" i="2"/>
  <c r="W24" i="2" s="1"/>
  <c r="W25" i="2" s="1"/>
  <c r="W28" i="2"/>
  <c r="V29" i="2"/>
  <c r="V30" i="2" s="1"/>
  <c r="V31" i="2" s="1"/>
  <c r="U16" i="3"/>
  <c r="T17" i="3"/>
  <c r="T18" i="3" s="1"/>
  <c r="T19" i="3" s="1"/>
  <c r="X4" i="3"/>
  <c r="W5" i="3"/>
  <c r="W6" i="3" s="1"/>
  <c r="W7" i="3" s="1"/>
  <c r="V16" i="1"/>
  <c r="U17" i="1"/>
  <c r="U18" i="1" s="1"/>
  <c r="U19" i="1" s="1"/>
  <c r="X4" i="4"/>
  <c r="W5" i="4"/>
  <c r="W6" i="4" s="1"/>
  <c r="W7" i="4" s="1"/>
  <c r="S52" i="3"/>
  <c r="R53" i="3"/>
  <c r="R54" i="3" s="1"/>
  <c r="R55" i="3" s="1"/>
  <c r="AB4" i="1"/>
  <c r="W10" i="4"/>
  <c r="V11" i="4"/>
  <c r="V12" i="4" s="1"/>
  <c r="V13" i="4" s="1"/>
  <c r="U10" i="2"/>
  <c r="T11" i="2"/>
  <c r="T12" i="2" s="1"/>
  <c r="T13" i="2" s="1"/>
  <c r="T22" i="4"/>
  <c r="S23" i="4"/>
  <c r="S24" i="4" s="1"/>
  <c r="S25" i="4" s="1"/>
  <c r="S34" i="1"/>
  <c r="R35" i="1"/>
  <c r="R36" i="1" s="1"/>
  <c r="R37" i="1" s="1"/>
  <c r="X10" i="4" l="1"/>
  <c r="W11" i="4"/>
  <c r="W12" i="4" s="1"/>
  <c r="W13" i="4" s="1"/>
  <c r="T34" i="1"/>
  <c r="S35" i="1"/>
  <c r="S36" i="1" s="1"/>
  <c r="S37" i="1" s="1"/>
  <c r="X5" i="3"/>
  <c r="X6" i="3" s="1"/>
  <c r="X7" i="3" s="1"/>
  <c r="Y4" i="3"/>
  <c r="T52" i="1"/>
  <c r="U46" i="2"/>
  <c r="W16" i="1"/>
  <c r="V17" i="1"/>
  <c r="V18" i="1" s="1"/>
  <c r="V19" i="1" s="1"/>
  <c r="T23" i="4"/>
  <c r="T24" i="4" s="1"/>
  <c r="T25" i="4" s="1"/>
  <c r="U22" i="4"/>
  <c r="T52" i="3"/>
  <c r="V16" i="3"/>
  <c r="U17" i="3"/>
  <c r="U18" i="3" s="1"/>
  <c r="U19" i="3" s="1"/>
  <c r="T17" i="4"/>
  <c r="T18" i="4" s="1"/>
  <c r="T19" i="4" s="1"/>
  <c r="U16" i="4"/>
  <c r="Y22" i="2"/>
  <c r="V10" i="2"/>
  <c r="U11" i="2"/>
  <c r="U12" i="2" s="1"/>
  <c r="U13" i="2" s="1"/>
  <c r="Y4" i="4"/>
  <c r="X5" i="4"/>
  <c r="X6" i="4" s="1"/>
  <c r="X7" i="4" s="1"/>
  <c r="X28" i="2"/>
  <c r="V22" i="3"/>
  <c r="U23" i="3"/>
  <c r="U24" i="3" s="1"/>
  <c r="U25" i="3" s="1"/>
  <c r="V16" i="4" l="1"/>
  <c r="U17" i="4"/>
  <c r="U18" i="4" s="1"/>
  <c r="U19" i="4" s="1"/>
  <c r="Z4" i="3"/>
  <c r="Y5" i="3"/>
  <c r="Y6" i="3" s="1"/>
  <c r="Y7" i="3" s="1"/>
  <c r="Z4" i="4"/>
  <c r="Y5" i="4"/>
  <c r="Y6" i="4" s="1"/>
  <c r="Y7" i="4" s="1"/>
  <c r="W16" i="3"/>
  <c r="V17" i="3"/>
  <c r="V18" i="3" s="1"/>
  <c r="V19" i="3" s="1"/>
  <c r="X16" i="1"/>
  <c r="W17" i="1"/>
  <c r="W18" i="1" s="1"/>
  <c r="W19" i="1" s="1"/>
  <c r="U34" i="1"/>
  <c r="T35" i="1"/>
  <c r="T36" i="1" s="1"/>
  <c r="T37" i="1" s="1"/>
  <c r="W10" i="2"/>
  <c r="V11" i="2"/>
  <c r="V12" i="2" s="1"/>
  <c r="V13" i="2" s="1"/>
  <c r="V22" i="4"/>
  <c r="U23" i="4"/>
  <c r="U24" i="4" s="1"/>
  <c r="U25" i="4" s="1"/>
  <c r="W22" i="3"/>
  <c r="V23" i="3"/>
  <c r="V24" i="3" s="1"/>
  <c r="V25" i="3" s="1"/>
  <c r="Y10" i="4"/>
  <c r="X11" i="4"/>
  <c r="X12" i="4" s="1"/>
  <c r="X13" i="4" s="1"/>
  <c r="X10" i="2" l="1"/>
  <c r="W11" i="2"/>
  <c r="W12" i="2" s="1"/>
  <c r="W13" i="2" s="1"/>
  <c r="AA4" i="4"/>
  <c r="Z5" i="4"/>
  <c r="Z6" i="4" s="1"/>
  <c r="Z7" i="4" s="1"/>
  <c r="W22" i="4"/>
  <c r="V23" i="4"/>
  <c r="V24" i="4" s="1"/>
  <c r="V25" i="4" s="1"/>
  <c r="X16" i="3"/>
  <c r="W17" i="3"/>
  <c r="W18" i="3" s="1"/>
  <c r="W19" i="3" s="1"/>
  <c r="V34" i="1"/>
  <c r="U35" i="1"/>
  <c r="U36" i="1" s="1"/>
  <c r="U37" i="1" s="1"/>
  <c r="Z10" i="4"/>
  <c r="Y11" i="4"/>
  <c r="Y12" i="4" s="1"/>
  <c r="Y13" i="4" s="1"/>
  <c r="AA4" i="3"/>
  <c r="Z5" i="3"/>
  <c r="Z6" i="3" s="1"/>
  <c r="Z7" i="3" s="1"/>
  <c r="X22" i="3"/>
  <c r="W23" i="3"/>
  <c r="W24" i="3" s="1"/>
  <c r="W25" i="3" s="1"/>
  <c r="Y16" i="1"/>
  <c r="X17" i="1"/>
  <c r="X18" i="1" s="1"/>
  <c r="X19" i="1" s="1"/>
  <c r="W16" i="4"/>
  <c r="V17" i="4"/>
  <c r="V18" i="4" s="1"/>
  <c r="V19" i="4" s="1"/>
  <c r="AB4" i="3" l="1"/>
  <c r="W23" i="4"/>
  <c r="W24" i="4" s="1"/>
  <c r="W25" i="4" s="1"/>
  <c r="X22" i="4"/>
  <c r="Y22" i="3"/>
  <c r="X16" i="4"/>
  <c r="W17" i="4"/>
  <c r="W18" i="4" s="1"/>
  <c r="W19" i="4" s="1"/>
  <c r="AA10" i="4"/>
  <c r="AB4" i="4"/>
  <c r="Y16" i="3"/>
  <c r="X17" i="3"/>
  <c r="X18" i="3" s="1"/>
  <c r="X19" i="3" s="1"/>
  <c r="Z16" i="1"/>
  <c r="W34" i="1"/>
  <c r="Y10" i="2"/>
  <c r="X11" i="2"/>
  <c r="X12" i="2" s="1"/>
  <c r="X13" i="2" s="1"/>
  <c r="Y16" i="4" l="1"/>
  <c r="X17" i="4"/>
  <c r="X18" i="4" s="1"/>
  <c r="X19" i="4" s="1"/>
  <c r="Z16" i="3"/>
  <c r="Y22" i="4"/>
  <c r="Y35" i="1"/>
  <c r="Z10" i="2"/>
  <c r="Y11" i="2"/>
  <c r="Y12" i="2" s="1"/>
  <c r="Y13" i="2" s="1"/>
  <c r="AA10" i="2" l="1"/>
  <c r="Z16" i="4"/>
</calcChain>
</file>

<file path=xl/sharedStrings.xml><?xml version="1.0" encoding="utf-8"?>
<sst xmlns="http://schemas.openxmlformats.org/spreadsheetml/2006/main" count="673" uniqueCount="32">
  <si>
    <t>Total Blocks</t>
  </si>
  <si>
    <t>RTP</t>
  </si>
  <si>
    <t>Case 1</t>
  </si>
  <si>
    <t>Mine</t>
  </si>
  <si>
    <t>Gem</t>
  </si>
  <si>
    <t>Unlocked Gem Number</t>
  </si>
  <si>
    <t>Prob</t>
  </si>
  <si>
    <t>Multiplier</t>
  </si>
  <si>
    <t>Final Payout</t>
  </si>
  <si>
    <t>Case 2</t>
  </si>
  <si>
    <t>Case 3</t>
  </si>
  <si>
    <t>Case 4</t>
  </si>
  <si>
    <t>Case 5</t>
  </si>
  <si>
    <t>Case 6</t>
  </si>
  <si>
    <t>Case 7</t>
  </si>
  <si>
    <t>Case 8</t>
  </si>
  <si>
    <t>Case 9</t>
  </si>
  <si>
    <t>Case 10</t>
  </si>
  <si>
    <t>Case 11</t>
  </si>
  <si>
    <t>Case 12</t>
  </si>
  <si>
    <t>Case 13</t>
  </si>
  <si>
    <t>Case 14</t>
  </si>
  <si>
    <t>Case 15</t>
  </si>
  <si>
    <t>Case 16</t>
  </si>
  <si>
    <t>Case 17</t>
  </si>
  <si>
    <t>Case 18</t>
  </si>
  <si>
    <t>Case 19</t>
  </si>
  <si>
    <t>Case 20</t>
  </si>
  <si>
    <t>Case 21</t>
  </si>
  <si>
    <t>Case 22</t>
  </si>
  <si>
    <t>Case 23</t>
  </si>
  <si>
    <t>Case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</si>
</sst>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00000"/>
    <numFmt numFmtId="167" formatCode="0.00000"/>
    <numFmt numFmtId="168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9" fontId="1" fillId="0" borderId="2" xfId="0" applyNumberFormat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3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64" fontId="0" fillId="0" borderId="0" xfId="0" applyNumberFormat="1"/>
    <xf numFmtId="1" fontId="0" fillId="0" borderId="1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7" xfId="0" applyNumberFormat="1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167" fontId="0" fillId="0" borderId="12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6" xfId="0" applyNumberFormat="1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14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B0EEC-3A65-4B23-AB3E-780F5ECF8BF5}">
  <dimension ref="A1:AB139"/>
  <sheetViews>
    <sheetView zoomScale="157" zoomScaleNormal="157" workbookViewId="0">
      <selection activeCell="D21" sqref="D21:Y21"/>
    </sheetView>
  </sheetViews>
  <sheetFormatPr baseColWidth="10" defaultColWidth="8.83203125" defaultRowHeight="15" x14ac:dyDescent="0.2"/>
  <cols>
    <col min="2" max="2" width="10.83203125" bestFit="1" customWidth="1"/>
    <col min="3" max="3" width="14.5" customWidth="1"/>
    <col min="4" max="5" width="10.6640625" customWidth="1"/>
    <col min="6" max="8" width="13" bestFit="1" customWidth="1"/>
    <col min="9" max="9" width="13.1640625" bestFit="1" customWidth="1"/>
    <col min="10" max="11" width="14.5" bestFit="1" customWidth="1"/>
    <col min="12" max="12" width="15.5" bestFit="1" customWidth="1"/>
    <col min="13" max="13" width="13.1640625" bestFit="1" customWidth="1"/>
    <col min="14" max="16" width="14.5" bestFit="1" customWidth="1"/>
    <col min="17" max="17" width="15.5" bestFit="1" customWidth="1"/>
    <col min="18" max="18" width="16.5" bestFit="1" customWidth="1"/>
    <col min="19" max="19" width="17.5" bestFit="1" customWidth="1"/>
    <col min="20" max="20" width="15.5" bestFit="1" customWidth="1"/>
    <col min="21" max="21" width="14.5" bestFit="1" customWidth="1"/>
    <col min="22" max="22" width="12.5" bestFit="1" customWidth="1"/>
    <col min="23" max="23" width="13.1640625" bestFit="1" customWidth="1"/>
    <col min="24" max="24" width="12.33203125" bestFit="1" customWidth="1"/>
    <col min="25" max="25" width="12.1640625" bestFit="1" customWidth="1"/>
    <col min="26" max="27" width="13.1640625" bestFit="1" customWidth="1"/>
  </cols>
  <sheetData>
    <row r="1" spans="1:28" ht="16" thickBot="1" x14ac:dyDescent="0.25">
      <c r="B1" s="1" t="s">
        <v>0</v>
      </c>
      <c r="C1" s="2">
        <v>24</v>
      </c>
      <c r="E1" s="3" t="s">
        <v>1</v>
      </c>
      <c r="F1" s="4">
        <v>0.93</v>
      </c>
    </row>
    <row r="2" spans="1:28" ht="16" thickBot="1" x14ac:dyDescent="0.25"/>
    <row r="3" spans="1:28" s="10" customFormat="1" ht="16" thickBot="1" x14ac:dyDescent="0.25">
      <c r="A3" s="5" t="s">
        <v>2</v>
      </c>
      <c r="B3" s="6" t="s">
        <v>3</v>
      </c>
      <c r="C3" s="7" t="s">
        <v>4</v>
      </c>
      <c r="D3" s="51" t="s">
        <v>5</v>
      </c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3"/>
    </row>
    <row r="4" spans="1:28" s="10" customFormat="1" ht="16" thickBot="1" x14ac:dyDescent="0.25">
      <c r="A4" s="11"/>
      <c r="B4" s="7">
        <v>1</v>
      </c>
      <c r="C4" s="12">
        <f>$C$1-B4</f>
        <v>23</v>
      </c>
      <c r="D4" s="6">
        <v>1</v>
      </c>
      <c r="E4" s="8">
        <f>D4+1</f>
        <v>2</v>
      </c>
      <c r="F4" s="8">
        <f t="shared" ref="F4:AB4" si="0">E4+1</f>
        <v>3</v>
      </c>
      <c r="G4" s="8">
        <f t="shared" si="0"/>
        <v>4</v>
      </c>
      <c r="H4" s="8">
        <f t="shared" si="0"/>
        <v>5</v>
      </c>
      <c r="I4" s="8">
        <f t="shared" si="0"/>
        <v>6</v>
      </c>
      <c r="J4" s="8">
        <f t="shared" si="0"/>
        <v>7</v>
      </c>
      <c r="K4" s="8">
        <f t="shared" si="0"/>
        <v>8</v>
      </c>
      <c r="L4" s="8">
        <f t="shared" si="0"/>
        <v>9</v>
      </c>
      <c r="M4" s="8">
        <f t="shared" si="0"/>
        <v>10</v>
      </c>
      <c r="N4" s="8">
        <f t="shared" si="0"/>
        <v>11</v>
      </c>
      <c r="O4" s="8">
        <f t="shared" si="0"/>
        <v>12</v>
      </c>
      <c r="P4" s="8">
        <f t="shared" si="0"/>
        <v>13</v>
      </c>
      <c r="Q4" s="8">
        <f t="shared" si="0"/>
        <v>14</v>
      </c>
      <c r="R4" s="8">
        <f t="shared" si="0"/>
        <v>15</v>
      </c>
      <c r="S4" s="8">
        <f t="shared" si="0"/>
        <v>16</v>
      </c>
      <c r="T4" s="8">
        <f t="shared" si="0"/>
        <v>17</v>
      </c>
      <c r="U4" s="8">
        <f t="shared" si="0"/>
        <v>18</v>
      </c>
      <c r="V4" s="8">
        <f t="shared" si="0"/>
        <v>19</v>
      </c>
      <c r="W4" s="8">
        <f t="shared" si="0"/>
        <v>20</v>
      </c>
      <c r="X4" s="8">
        <f t="shared" si="0"/>
        <v>21</v>
      </c>
      <c r="Y4" s="8">
        <f t="shared" si="0"/>
        <v>22</v>
      </c>
      <c r="Z4" s="8">
        <f t="shared" si="0"/>
        <v>23</v>
      </c>
      <c r="AA4" s="8">
        <f t="shared" si="0"/>
        <v>24</v>
      </c>
      <c r="AB4" s="9">
        <f t="shared" si="0"/>
        <v>25</v>
      </c>
    </row>
    <row r="5" spans="1:28" s="10" customFormat="1" x14ac:dyDescent="0.2">
      <c r="C5" s="13" t="s">
        <v>6</v>
      </c>
      <c r="D5" s="14">
        <f>COMBIN($C$4,D4)/COMBIN($C$1,D4)</f>
        <v>0.95833333333333337</v>
      </c>
      <c r="E5" s="15">
        <f t="shared" ref="E5:Z5" si="1">COMBIN($C$4,E4)/COMBIN($C$1,E4)</f>
        <v>0.91666666666666663</v>
      </c>
      <c r="F5" s="15">
        <f t="shared" si="1"/>
        <v>0.87499999999999989</v>
      </c>
      <c r="G5" s="15">
        <f t="shared" si="1"/>
        <v>0.83333333333333337</v>
      </c>
      <c r="H5" s="15">
        <f t="shared" si="1"/>
        <v>0.79166666666666696</v>
      </c>
      <c r="I5" s="15">
        <f t="shared" si="1"/>
        <v>0.74999999999999989</v>
      </c>
      <c r="J5" s="15">
        <f t="shared" si="1"/>
        <v>0.70833333333333337</v>
      </c>
      <c r="K5" s="15">
        <f t="shared" si="1"/>
        <v>0.66666666666666663</v>
      </c>
      <c r="L5" s="15">
        <f t="shared" si="1"/>
        <v>0.625</v>
      </c>
      <c r="M5" s="15">
        <f t="shared" si="1"/>
        <v>0.58333333333333348</v>
      </c>
      <c r="N5" s="15">
        <f t="shared" si="1"/>
        <v>0.54166666666666663</v>
      </c>
      <c r="O5" s="15">
        <f t="shared" si="1"/>
        <v>0.49999999999999989</v>
      </c>
      <c r="P5" s="15">
        <f t="shared" si="1"/>
        <v>0.45833333333333331</v>
      </c>
      <c r="Q5" s="15">
        <f t="shared" si="1"/>
        <v>0.41666666666666669</v>
      </c>
      <c r="R5" s="15">
        <f t="shared" si="1"/>
        <v>0.375</v>
      </c>
      <c r="S5" s="15">
        <f t="shared" si="1"/>
        <v>0.33333333333333331</v>
      </c>
      <c r="T5" s="15">
        <f t="shared" si="1"/>
        <v>0.29166666666666669</v>
      </c>
      <c r="U5" s="15">
        <f t="shared" si="1"/>
        <v>0.25</v>
      </c>
      <c r="V5" s="15">
        <f t="shared" si="1"/>
        <v>0.20833333333333337</v>
      </c>
      <c r="W5" s="15">
        <f t="shared" si="1"/>
        <v>0.16666666666666666</v>
      </c>
      <c r="X5" s="15">
        <f t="shared" si="1"/>
        <v>0.12499999999999999</v>
      </c>
      <c r="Y5" s="15">
        <f t="shared" si="1"/>
        <v>8.3333333333333329E-2</v>
      </c>
      <c r="Z5" s="15">
        <f t="shared" si="1"/>
        <v>4.1666666666666664E-2</v>
      </c>
      <c r="AA5" s="15"/>
      <c r="AB5" s="16"/>
    </row>
    <row r="6" spans="1:28" s="10" customFormat="1" x14ac:dyDescent="0.2">
      <c r="C6" s="17" t="s">
        <v>7</v>
      </c>
      <c r="D6" s="18">
        <f>1/D5</f>
        <v>1.0434782608695652</v>
      </c>
      <c r="E6" s="19">
        <f t="shared" ref="E6:Z6" si="2">1/E5</f>
        <v>1.0909090909090911</v>
      </c>
      <c r="F6" s="19">
        <f t="shared" si="2"/>
        <v>1.142857142857143</v>
      </c>
      <c r="G6" s="19">
        <f t="shared" si="2"/>
        <v>1.2</v>
      </c>
      <c r="H6" s="19">
        <f t="shared" si="2"/>
        <v>1.2631578947368416</v>
      </c>
      <c r="I6" s="19">
        <f t="shared" si="2"/>
        <v>1.3333333333333335</v>
      </c>
      <c r="J6" s="19">
        <f t="shared" si="2"/>
        <v>1.4117647058823528</v>
      </c>
      <c r="K6" s="19">
        <f t="shared" si="2"/>
        <v>1.5</v>
      </c>
      <c r="L6" s="19">
        <f t="shared" si="2"/>
        <v>1.6</v>
      </c>
      <c r="M6" s="19">
        <f t="shared" si="2"/>
        <v>1.7142857142857137</v>
      </c>
      <c r="N6" s="19">
        <f t="shared" si="2"/>
        <v>1.8461538461538463</v>
      </c>
      <c r="O6" s="19">
        <f t="shared" si="2"/>
        <v>2.0000000000000004</v>
      </c>
      <c r="P6" s="19">
        <f t="shared" si="2"/>
        <v>2.1818181818181821</v>
      </c>
      <c r="Q6" s="19">
        <f t="shared" si="2"/>
        <v>2.4</v>
      </c>
      <c r="R6" s="19">
        <f t="shared" si="2"/>
        <v>2.6666666666666665</v>
      </c>
      <c r="S6" s="19">
        <f t="shared" si="2"/>
        <v>3</v>
      </c>
      <c r="T6" s="19">
        <f t="shared" si="2"/>
        <v>3.4285714285714284</v>
      </c>
      <c r="U6" s="19">
        <f t="shared" si="2"/>
        <v>4</v>
      </c>
      <c r="V6" s="19">
        <f t="shared" si="2"/>
        <v>4.7999999999999989</v>
      </c>
      <c r="W6" s="19">
        <f t="shared" si="2"/>
        <v>6</v>
      </c>
      <c r="X6" s="19">
        <f t="shared" si="2"/>
        <v>8.0000000000000018</v>
      </c>
      <c r="Y6" s="19">
        <f t="shared" si="2"/>
        <v>12</v>
      </c>
      <c r="Z6" s="19">
        <f t="shared" si="2"/>
        <v>24</v>
      </c>
      <c r="AA6" s="19"/>
      <c r="AB6" s="12"/>
    </row>
    <row r="7" spans="1:28" s="10" customFormat="1" ht="16" thickBot="1" x14ac:dyDescent="0.25">
      <c r="C7" s="20" t="s">
        <v>8</v>
      </c>
      <c r="D7" s="21">
        <f>$F$1*D6</f>
        <v>0.97043478260869565</v>
      </c>
      <c r="E7" s="22">
        <f>$F$1*E6</f>
        <v>1.0145454545454546</v>
      </c>
      <c r="F7" s="22">
        <f t="shared" ref="F7:Z7" si="3">$F$1*F6</f>
        <v>1.0628571428571432</v>
      </c>
      <c r="G7" s="22">
        <f t="shared" si="3"/>
        <v>1.1160000000000001</v>
      </c>
      <c r="H7" s="22">
        <f t="shared" si="3"/>
        <v>1.1747368421052626</v>
      </c>
      <c r="I7" s="22">
        <f t="shared" si="3"/>
        <v>1.2400000000000002</v>
      </c>
      <c r="J7" s="22">
        <f t="shared" si="3"/>
        <v>1.3129411764705883</v>
      </c>
      <c r="K7" s="22">
        <f t="shared" si="3"/>
        <v>1.395</v>
      </c>
      <c r="L7" s="22">
        <f t="shared" si="3"/>
        <v>1.4880000000000002</v>
      </c>
      <c r="M7" s="22">
        <f t="shared" si="3"/>
        <v>1.5942857142857139</v>
      </c>
      <c r="N7" s="22">
        <f t="shared" si="3"/>
        <v>1.7169230769230772</v>
      </c>
      <c r="O7" s="22">
        <f t="shared" si="3"/>
        <v>1.8600000000000005</v>
      </c>
      <c r="P7" s="22">
        <f t="shared" si="3"/>
        <v>2.0290909090909093</v>
      </c>
      <c r="Q7" s="22">
        <f t="shared" si="3"/>
        <v>2.2320000000000002</v>
      </c>
      <c r="R7" s="22">
        <f t="shared" si="3"/>
        <v>2.48</v>
      </c>
      <c r="S7" s="22">
        <f t="shared" si="3"/>
        <v>2.79</v>
      </c>
      <c r="T7" s="22">
        <f t="shared" si="3"/>
        <v>3.1885714285714286</v>
      </c>
      <c r="U7" s="22">
        <f t="shared" si="3"/>
        <v>3.72</v>
      </c>
      <c r="V7" s="22">
        <f t="shared" si="3"/>
        <v>4.4639999999999995</v>
      </c>
      <c r="W7" s="22">
        <f t="shared" si="3"/>
        <v>5.58</v>
      </c>
      <c r="X7" s="22">
        <f t="shared" si="3"/>
        <v>7.4400000000000022</v>
      </c>
      <c r="Y7" s="22">
        <f t="shared" si="3"/>
        <v>11.16</v>
      </c>
      <c r="Z7" s="22">
        <f t="shared" si="3"/>
        <v>22.32</v>
      </c>
      <c r="AA7" s="22"/>
      <c r="AB7" s="23"/>
    </row>
    <row r="8" spans="1:28" ht="16" thickBot="1" x14ac:dyDescent="0.25"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28" s="10" customFormat="1" ht="16" thickBot="1" x14ac:dyDescent="0.25">
      <c r="A9" s="5" t="s">
        <v>9</v>
      </c>
      <c r="B9" s="6" t="s">
        <v>3</v>
      </c>
      <c r="C9" s="7" t="s">
        <v>4</v>
      </c>
      <c r="D9" s="54" t="s">
        <v>5</v>
      </c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6"/>
      <c r="AB9"/>
    </row>
    <row r="10" spans="1:28" s="10" customFormat="1" ht="16" thickBot="1" x14ac:dyDescent="0.25">
      <c r="A10" s="11"/>
      <c r="B10" s="7">
        <v>2</v>
      </c>
      <c r="C10" s="12">
        <f>$C$1-B10</f>
        <v>22</v>
      </c>
      <c r="D10" s="25">
        <v>1</v>
      </c>
      <c r="E10" s="26">
        <f>D10+1</f>
        <v>2</v>
      </c>
      <c r="F10" s="26">
        <f t="shared" ref="F10:AA10" si="4">E10+1</f>
        <v>3</v>
      </c>
      <c r="G10" s="26">
        <f t="shared" si="4"/>
        <v>4</v>
      </c>
      <c r="H10" s="26">
        <f t="shared" si="4"/>
        <v>5</v>
      </c>
      <c r="I10" s="26">
        <f t="shared" si="4"/>
        <v>6</v>
      </c>
      <c r="J10" s="26">
        <f t="shared" si="4"/>
        <v>7</v>
      </c>
      <c r="K10" s="26">
        <f t="shared" si="4"/>
        <v>8</v>
      </c>
      <c r="L10" s="26">
        <f t="shared" si="4"/>
        <v>9</v>
      </c>
      <c r="M10" s="26">
        <f t="shared" si="4"/>
        <v>10</v>
      </c>
      <c r="N10" s="26">
        <f t="shared" si="4"/>
        <v>11</v>
      </c>
      <c r="O10" s="26">
        <f t="shared" si="4"/>
        <v>12</v>
      </c>
      <c r="P10" s="26">
        <f t="shared" si="4"/>
        <v>13</v>
      </c>
      <c r="Q10" s="26">
        <f t="shared" si="4"/>
        <v>14</v>
      </c>
      <c r="R10" s="26">
        <f t="shared" si="4"/>
        <v>15</v>
      </c>
      <c r="S10" s="26">
        <f t="shared" si="4"/>
        <v>16</v>
      </c>
      <c r="T10" s="26">
        <f t="shared" si="4"/>
        <v>17</v>
      </c>
      <c r="U10" s="26">
        <f t="shared" si="4"/>
        <v>18</v>
      </c>
      <c r="V10" s="26">
        <f t="shared" si="4"/>
        <v>19</v>
      </c>
      <c r="W10" s="26">
        <f t="shared" si="4"/>
        <v>20</v>
      </c>
      <c r="X10" s="26">
        <f t="shared" si="4"/>
        <v>21</v>
      </c>
      <c r="Y10" s="26">
        <f t="shared" si="4"/>
        <v>22</v>
      </c>
      <c r="Z10" s="26">
        <f t="shared" si="4"/>
        <v>23</v>
      </c>
      <c r="AA10" s="27">
        <f t="shared" si="4"/>
        <v>24</v>
      </c>
      <c r="AB10"/>
    </row>
    <row r="11" spans="1:28" s="10" customFormat="1" x14ac:dyDescent="0.2">
      <c r="C11" s="13" t="s">
        <v>6</v>
      </c>
      <c r="D11" s="14">
        <f>COMBIN($C$10,D10)/COMBIN($C$1,D10)</f>
        <v>0.91666666666666663</v>
      </c>
      <c r="E11" s="15">
        <f>COMBIN($C$10,E10)/COMBIN($C$1,E10)</f>
        <v>0.83695652173913049</v>
      </c>
      <c r="F11" s="15">
        <f>COMBIN($C$10,F10)/COMBIN($C$1,F10)</f>
        <v>0.76086956521739124</v>
      </c>
      <c r="G11" s="15">
        <f>COMBIN($C$10,G10)/COMBIN($C$1,G10)</f>
        <v>0.68840579710144922</v>
      </c>
      <c r="H11" s="15">
        <f>COMBIN($C$10,H10)/COMBIN($C$1,H10)</f>
        <v>0.61956521739130443</v>
      </c>
      <c r="I11" s="15">
        <f>COMBIN($C$10,I10)/COMBIN($C$1,I10)</f>
        <v>0.55434782608695643</v>
      </c>
      <c r="J11" s="15">
        <f>COMBIN($C$10,J10)/COMBIN($C$1,J10)</f>
        <v>0.49275362318840582</v>
      </c>
      <c r="K11" s="15">
        <f>COMBIN($C$10,K10)/COMBIN($C$1,K10)</f>
        <v>0.43478260869565216</v>
      </c>
      <c r="L11" s="15">
        <f>COMBIN($C$10,L10)/COMBIN($C$1,L10)</f>
        <v>0.38043478260869568</v>
      </c>
      <c r="M11" s="15">
        <f>COMBIN($C$10,M10)/COMBIN($C$1,M10)</f>
        <v>0.32971014492753631</v>
      </c>
      <c r="N11" s="15">
        <f>COMBIN($C$10,N10)/COMBIN($C$1,N10)</f>
        <v>0.28260869565217384</v>
      </c>
      <c r="O11" s="15">
        <f>COMBIN($C$10,O10)/COMBIN($C$1,O10)</f>
        <v>0.23913043478260865</v>
      </c>
      <c r="P11" s="15">
        <f>COMBIN($C$10,P10)/COMBIN($C$1,P10)</f>
        <v>0.19927536231884055</v>
      </c>
      <c r="Q11" s="15">
        <f>COMBIN($C$10,Q10)/COMBIN($C$1,Q10)</f>
        <v>0.16304347826086957</v>
      </c>
      <c r="R11" s="15">
        <f>COMBIN($C$10,R10)/COMBIN($C$1,R10)</f>
        <v>0.13043478260869565</v>
      </c>
      <c r="S11" s="15">
        <f>COMBIN($C$10,S10)/COMBIN($C$1,S10)</f>
        <v>0.10144927536231885</v>
      </c>
      <c r="T11" s="15">
        <f>COMBIN($C$10,T10)/COMBIN($C$1,T10)</f>
        <v>7.6086956521739135E-2</v>
      </c>
      <c r="U11" s="15">
        <f>COMBIN($C$10,U10)/COMBIN($C$1,U10)</f>
        <v>5.4347826086956513E-2</v>
      </c>
      <c r="V11" s="15">
        <f>COMBIN($C$10,V10)/COMBIN($C$1,V10)</f>
        <v>3.6231884057971023E-2</v>
      </c>
      <c r="W11" s="15">
        <f>COMBIN($C$10,W10)/COMBIN($C$1,W10)</f>
        <v>2.1739130434782608E-2</v>
      </c>
      <c r="X11" s="15">
        <f>COMBIN($C$10,X10)/COMBIN($C$1,X10)</f>
        <v>1.0869565217391302E-2</v>
      </c>
      <c r="Y11" s="15">
        <f>COMBIN($C$10,Y10)/COMBIN($C$1,Y10)</f>
        <v>3.6231884057971015E-3</v>
      </c>
      <c r="Z11" s="15"/>
      <c r="AA11" s="28"/>
      <c r="AB11"/>
    </row>
    <row r="12" spans="1:28" s="10" customFormat="1" x14ac:dyDescent="0.2">
      <c r="C12" s="17" t="s">
        <v>7</v>
      </c>
      <c r="D12" s="18">
        <f>1/D11</f>
        <v>1.0909090909090911</v>
      </c>
      <c r="E12" s="19">
        <f t="shared" ref="E12:Y12" si="5">1/E11</f>
        <v>1.1948051948051948</v>
      </c>
      <c r="F12" s="19">
        <f t="shared" si="5"/>
        <v>1.3142857142857145</v>
      </c>
      <c r="G12" s="19">
        <f t="shared" si="5"/>
        <v>1.4526315789473685</v>
      </c>
      <c r="H12" s="19">
        <f t="shared" si="5"/>
        <v>1.6140350877192979</v>
      </c>
      <c r="I12" s="19">
        <f t="shared" si="5"/>
        <v>1.8039215686274512</v>
      </c>
      <c r="J12" s="19">
        <f t="shared" si="5"/>
        <v>2.0294117647058822</v>
      </c>
      <c r="K12" s="19">
        <f t="shared" si="5"/>
        <v>2.3000000000000003</v>
      </c>
      <c r="L12" s="19">
        <f t="shared" si="5"/>
        <v>2.6285714285714286</v>
      </c>
      <c r="M12" s="19">
        <f t="shared" si="5"/>
        <v>3.0329670329670324</v>
      </c>
      <c r="N12" s="19">
        <f t="shared" si="5"/>
        <v>3.5384615384615392</v>
      </c>
      <c r="O12" s="19">
        <f t="shared" si="5"/>
        <v>4.1818181818181825</v>
      </c>
      <c r="P12" s="19">
        <f t="shared" si="5"/>
        <v>5.0181818181818185</v>
      </c>
      <c r="Q12" s="19">
        <f t="shared" si="5"/>
        <v>6.1333333333333329</v>
      </c>
      <c r="R12" s="19">
        <f t="shared" si="5"/>
        <v>7.666666666666667</v>
      </c>
      <c r="S12" s="19">
        <f t="shared" si="5"/>
        <v>9.8571428571428559</v>
      </c>
      <c r="T12" s="19">
        <f t="shared" si="5"/>
        <v>13.142857142857142</v>
      </c>
      <c r="U12" s="19">
        <f t="shared" si="5"/>
        <v>18.400000000000002</v>
      </c>
      <c r="V12" s="19">
        <f t="shared" si="5"/>
        <v>27.599999999999994</v>
      </c>
      <c r="W12" s="19">
        <f t="shared" si="5"/>
        <v>46</v>
      </c>
      <c r="X12" s="19">
        <f t="shared" si="5"/>
        <v>92.000000000000014</v>
      </c>
      <c r="Y12" s="19">
        <f t="shared" si="5"/>
        <v>276</v>
      </c>
      <c r="Z12" s="19"/>
      <c r="AA12" s="29"/>
      <c r="AB12"/>
    </row>
    <row r="13" spans="1:28" s="10" customFormat="1" ht="16" thickBot="1" x14ac:dyDescent="0.25">
      <c r="C13" s="20" t="s">
        <v>8</v>
      </c>
      <c r="D13" s="30">
        <f>$F$1*D12</f>
        <v>1.0145454545454546</v>
      </c>
      <c r="E13" s="31">
        <f t="shared" ref="E13:Y13" si="6">$F$1*E12</f>
        <v>1.1111688311688313</v>
      </c>
      <c r="F13" s="31">
        <f t="shared" si="6"/>
        <v>1.2222857142857146</v>
      </c>
      <c r="G13" s="31">
        <f t="shared" si="6"/>
        <v>1.3509473684210527</v>
      </c>
      <c r="H13" s="31">
        <f t="shared" si="6"/>
        <v>1.5010526315789472</v>
      </c>
      <c r="I13" s="31">
        <f t="shared" si="6"/>
        <v>1.6776470588235297</v>
      </c>
      <c r="J13" s="31">
        <f t="shared" si="6"/>
        <v>1.8873529411764707</v>
      </c>
      <c r="K13" s="31">
        <f t="shared" si="6"/>
        <v>2.1390000000000002</v>
      </c>
      <c r="L13" s="31">
        <f t="shared" si="6"/>
        <v>2.4445714285714288</v>
      </c>
      <c r="M13" s="31">
        <f t="shared" si="6"/>
        <v>2.8206593406593403</v>
      </c>
      <c r="N13" s="31">
        <f t="shared" si="6"/>
        <v>3.2907692307692318</v>
      </c>
      <c r="O13" s="31">
        <f t="shared" si="6"/>
        <v>3.88909090909091</v>
      </c>
      <c r="P13" s="31">
        <f t="shared" si="6"/>
        <v>4.6669090909090913</v>
      </c>
      <c r="Q13" s="31">
        <f t="shared" si="6"/>
        <v>5.7039999999999997</v>
      </c>
      <c r="R13" s="31">
        <f t="shared" si="6"/>
        <v>7.1300000000000008</v>
      </c>
      <c r="S13" s="31">
        <f t="shared" si="6"/>
        <v>9.1671428571428564</v>
      </c>
      <c r="T13" s="31">
        <f t="shared" si="6"/>
        <v>12.222857142857142</v>
      </c>
      <c r="U13" s="31">
        <f t="shared" si="6"/>
        <v>17.112000000000002</v>
      </c>
      <c r="V13" s="31">
        <f t="shared" si="6"/>
        <v>25.667999999999996</v>
      </c>
      <c r="W13" s="31">
        <f t="shared" si="6"/>
        <v>42.78</v>
      </c>
      <c r="X13" s="31">
        <f t="shared" si="6"/>
        <v>85.560000000000016</v>
      </c>
      <c r="Y13" s="31">
        <f t="shared" si="6"/>
        <v>256.68</v>
      </c>
      <c r="Z13" s="31"/>
      <c r="AA13" s="32"/>
      <c r="AB13"/>
    </row>
    <row r="14" spans="1:28" ht="16" thickBot="1" x14ac:dyDescent="0.25"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28" s="10" customFormat="1" ht="16" thickBot="1" x14ac:dyDescent="0.25">
      <c r="A15" s="5" t="s">
        <v>10</v>
      </c>
      <c r="B15" s="6" t="s">
        <v>3</v>
      </c>
      <c r="C15" s="7" t="s">
        <v>4</v>
      </c>
      <c r="D15" s="54" t="s">
        <v>5</v>
      </c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6"/>
      <c r="AA15" s="24"/>
      <c r="AB15"/>
    </row>
    <row r="16" spans="1:28" s="10" customFormat="1" ht="16" thickBot="1" x14ac:dyDescent="0.25">
      <c r="A16" s="11"/>
      <c r="B16" s="7">
        <v>3</v>
      </c>
      <c r="C16" s="12">
        <f>$C$1-B16</f>
        <v>21</v>
      </c>
      <c r="D16" s="25">
        <v>1</v>
      </c>
      <c r="E16" s="26">
        <f>D16+1</f>
        <v>2</v>
      </c>
      <c r="F16" s="26">
        <f t="shared" ref="F16:Z16" si="7">E16+1</f>
        <v>3</v>
      </c>
      <c r="G16" s="26">
        <f t="shared" si="7"/>
        <v>4</v>
      </c>
      <c r="H16" s="26">
        <f t="shared" si="7"/>
        <v>5</v>
      </c>
      <c r="I16" s="26">
        <f t="shared" si="7"/>
        <v>6</v>
      </c>
      <c r="J16" s="26">
        <f t="shared" si="7"/>
        <v>7</v>
      </c>
      <c r="K16" s="26">
        <f t="shared" si="7"/>
        <v>8</v>
      </c>
      <c r="L16" s="26">
        <f t="shared" si="7"/>
        <v>9</v>
      </c>
      <c r="M16" s="26">
        <f t="shared" si="7"/>
        <v>10</v>
      </c>
      <c r="N16" s="26">
        <f t="shared" si="7"/>
        <v>11</v>
      </c>
      <c r="O16" s="26">
        <f t="shared" si="7"/>
        <v>12</v>
      </c>
      <c r="P16" s="26">
        <f t="shared" si="7"/>
        <v>13</v>
      </c>
      <c r="Q16" s="26">
        <f t="shared" si="7"/>
        <v>14</v>
      </c>
      <c r="R16" s="26">
        <f t="shared" si="7"/>
        <v>15</v>
      </c>
      <c r="S16" s="26">
        <f t="shared" si="7"/>
        <v>16</v>
      </c>
      <c r="T16" s="26">
        <f t="shared" si="7"/>
        <v>17</v>
      </c>
      <c r="U16" s="26">
        <f t="shared" si="7"/>
        <v>18</v>
      </c>
      <c r="V16" s="26">
        <f t="shared" si="7"/>
        <v>19</v>
      </c>
      <c r="W16" s="26">
        <f t="shared" si="7"/>
        <v>20</v>
      </c>
      <c r="X16" s="26">
        <f t="shared" si="7"/>
        <v>21</v>
      </c>
      <c r="Y16" s="26">
        <f t="shared" si="7"/>
        <v>22</v>
      </c>
      <c r="Z16" s="27">
        <f t="shared" si="7"/>
        <v>23</v>
      </c>
      <c r="AA16" s="24"/>
      <c r="AB16"/>
    </row>
    <row r="17" spans="1:28" s="10" customFormat="1" x14ac:dyDescent="0.2">
      <c r="C17" s="13" t="s">
        <v>6</v>
      </c>
      <c r="D17" s="14">
        <f>COMBIN($C$16,D16)/COMBIN($C$1,D16)</f>
        <v>0.875</v>
      </c>
      <c r="E17" s="15">
        <f>COMBIN($C$16,E16)/COMBIN($C$1,E16)</f>
        <v>0.76086956521739135</v>
      </c>
      <c r="F17" s="15">
        <f>COMBIN($C$16,F16)/COMBIN($C$1,F16)</f>
        <v>0.65711462450592883</v>
      </c>
      <c r="G17" s="15">
        <f>COMBIN($C$16,G16)/COMBIN($C$1,G16)</f>
        <v>0.56324110671936756</v>
      </c>
      <c r="H17" s="15">
        <f>COMBIN($C$16,H16)/COMBIN($C$1,H16)</f>
        <v>0.47875494071146252</v>
      </c>
      <c r="I17" s="15">
        <f>COMBIN($C$16,I16)/COMBIN($C$1,I16)</f>
        <v>0.40316205533596827</v>
      </c>
      <c r="J17" s="15">
        <f>COMBIN($C$16,J16)/COMBIN($C$1,J16)</f>
        <v>0.33596837944664032</v>
      </c>
      <c r="K17" s="15">
        <f>COMBIN($C$16,K16)/COMBIN($C$1,K16)</f>
        <v>0.27667984189723321</v>
      </c>
      <c r="L17" s="15">
        <f>COMBIN($C$16,L16)/COMBIN($C$1,L16)</f>
        <v>0.22480237154150201</v>
      </c>
      <c r="M17" s="15">
        <f>COMBIN($C$16,M16)/COMBIN($C$1,M16)</f>
        <v>0.17984189723320157</v>
      </c>
      <c r="N17" s="15">
        <f>COMBIN($C$16,N16)/COMBIN($C$1,N16)</f>
        <v>0.14130434782608692</v>
      </c>
      <c r="O17" s="15">
        <f>COMBIN($C$16,O16)/COMBIN($C$1,O16)</f>
        <v>0.10869565217391303</v>
      </c>
      <c r="P17" s="15">
        <f>COMBIN($C$16,P16)/COMBIN($C$1,P16)</f>
        <v>8.152173913043477E-2</v>
      </c>
      <c r="Q17" s="15">
        <f>COMBIN($C$16,Q16)/COMBIN($C$1,Q16)</f>
        <v>5.9288537549407112E-2</v>
      </c>
      <c r="R17" s="15">
        <f>COMBIN($C$16,R16)/COMBIN($C$1,R16)</f>
        <v>4.1501976284584984E-2</v>
      </c>
      <c r="S17" s="15">
        <f>COMBIN($C$16,S16)/COMBIN($C$1,S16)</f>
        <v>2.766798418972332E-2</v>
      </c>
      <c r="T17" s="15">
        <f>COMBIN($C$16,T16)/COMBIN($C$1,T16)</f>
        <v>1.7292490118577076E-2</v>
      </c>
      <c r="U17" s="15">
        <f>COMBIN($C$16,U16)/COMBIN($C$1,U16)</f>
        <v>9.8814229249011842E-3</v>
      </c>
      <c r="V17" s="15">
        <f>COMBIN($C$16,V16)/COMBIN($C$1,V16)</f>
        <v>4.9407114624505939E-3</v>
      </c>
      <c r="W17" s="15">
        <f>COMBIN($C$16,W16)/COMBIN($C$1,W16)</f>
        <v>1.976284584980237E-3</v>
      </c>
      <c r="X17" s="15">
        <f>COMBIN($C$16,X16)/COMBIN($C$1,X16)</f>
        <v>4.9407114624505926E-4</v>
      </c>
      <c r="Y17" s="15"/>
      <c r="Z17" s="28"/>
      <c r="AA17" s="24"/>
      <c r="AB17"/>
    </row>
    <row r="18" spans="1:28" s="10" customFormat="1" x14ac:dyDescent="0.2">
      <c r="C18" s="17" t="s">
        <v>7</v>
      </c>
      <c r="D18" s="18">
        <f>1/D17</f>
        <v>1.1428571428571428</v>
      </c>
      <c r="E18" s="19">
        <f t="shared" ref="E18:X18" si="8">1/E17</f>
        <v>1.3142857142857143</v>
      </c>
      <c r="F18" s="19">
        <f t="shared" si="8"/>
        <v>1.5218045112781955</v>
      </c>
      <c r="G18" s="19">
        <f t="shared" si="8"/>
        <v>1.7754385964912283</v>
      </c>
      <c r="H18" s="19">
        <f t="shared" si="8"/>
        <v>2.0887512899896796</v>
      </c>
      <c r="I18" s="19">
        <f t="shared" si="8"/>
        <v>2.4803921568627456</v>
      </c>
      <c r="J18" s="19">
        <f t="shared" si="8"/>
        <v>2.9764705882352942</v>
      </c>
      <c r="K18" s="19">
        <f t="shared" si="8"/>
        <v>3.6142857142857143</v>
      </c>
      <c r="L18" s="19">
        <f t="shared" si="8"/>
        <v>4.4483516483516476</v>
      </c>
      <c r="M18" s="19">
        <f t="shared" si="8"/>
        <v>5.5604395604395611</v>
      </c>
      <c r="N18" s="19">
        <f t="shared" si="8"/>
        <v>7.0769230769230784</v>
      </c>
      <c r="O18" s="19">
        <f t="shared" si="8"/>
        <v>9.2000000000000011</v>
      </c>
      <c r="P18" s="19">
        <f t="shared" si="8"/>
        <v>12.266666666666669</v>
      </c>
      <c r="Q18" s="19">
        <f t="shared" si="8"/>
        <v>16.866666666666667</v>
      </c>
      <c r="R18" s="19">
        <f t="shared" si="8"/>
        <v>24.095238095238095</v>
      </c>
      <c r="S18" s="19">
        <f t="shared" si="8"/>
        <v>36.142857142857146</v>
      </c>
      <c r="T18" s="19">
        <f t="shared" si="8"/>
        <v>57.828571428571429</v>
      </c>
      <c r="U18" s="19">
        <f t="shared" si="8"/>
        <v>101.20000000000002</v>
      </c>
      <c r="V18" s="19">
        <f t="shared" si="8"/>
        <v>202.39999999999995</v>
      </c>
      <c r="W18" s="19">
        <f t="shared" si="8"/>
        <v>506.00000000000006</v>
      </c>
      <c r="X18" s="19">
        <f t="shared" si="8"/>
        <v>2024.0000000000002</v>
      </c>
      <c r="Y18" s="19"/>
      <c r="Z18" s="29"/>
      <c r="AA18" s="24"/>
      <c r="AB18"/>
    </row>
    <row r="19" spans="1:28" s="10" customFormat="1" ht="16" thickBot="1" x14ac:dyDescent="0.25">
      <c r="C19" s="20" t="s">
        <v>8</v>
      </c>
      <c r="D19" s="30">
        <f>$F$1*D18</f>
        <v>1.0628571428571429</v>
      </c>
      <c r="E19" s="31">
        <f t="shared" ref="E19:X19" si="9">$F$1*E18</f>
        <v>1.2222857142857144</v>
      </c>
      <c r="F19" s="31">
        <f t="shared" si="9"/>
        <v>1.4152781954887219</v>
      </c>
      <c r="G19" s="31">
        <f t="shared" si="9"/>
        <v>1.6511578947368424</v>
      </c>
      <c r="H19" s="31">
        <f t="shared" si="9"/>
        <v>1.9425386996904022</v>
      </c>
      <c r="I19" s="31">
        <f t="shared" si="9"/>
        <v>2.3067647058823537</v>
      </c>
      <c r="J19" s="31">
        <f t="shared" si="9"/>
        <v>2.7681176470588236</v>
      </c>
      <c r="K19" s="31">
        <f t="shared" si="9"/>
        <v>3.3612857142857147</v>
      </c>
      <c r="L19" s="31">
        <f t="shared" si="9"/>
        <v>4.1369670329670329</v>
      </c>
      <c r="M19" s="31">
        <f t="shared" si="9"/>
        <v>5.1712087912087918</v>
      </c>
      <c r="N19" s="31">
        <f t="shared" si="9"/>
        <v>6.5815384615384636</v>
      </c>
      <c r="O19" s="31">
        <f t="shared" si="9"/>
        <v>8.5560000000000009</v>
      </c>
      <c r="P19" s="31">
        <f t="shared" si="9"/>
        <v>11.408000000000003</v>
      </c>
      <c r="Q19" s="31">
        <f t="shared" si="9"/>
        <v>15.686000000000002</v>
      </c>
      <c r="R19" s="31">
        <f t="shared" si="9"/>
        <v>22.408571428571431</v>
      </c>
      <c r="S19" s="31">
        <f t="shared" si="9"/>
        <v>33.612857142857145</v>
      </c>
      <c r="T19" s="31">
        <f t="shared" si="9"/>
        <v>53.780571428571434</v>
      </c>
      <c r="U19" s="31">
        <f t="shared" si="9"/>
        <v>94.116000000000014</v>
      </c>
      <c r="V19" s="31">
        <f t="shared" si="9"/>
        <v>188.23199999999997</v>
      </c>
      <c r="W19" s="31">
        <f t="shared" si="9"/>
        <v>470.5800000000001</v>
      </c>
      <c r="X19" s="31">
        <f t="shared" si="9"/>
        <v>1882.3200000000004</v>
      </c>
      <c r="Y19" s="31"/>
      <c r="Z19" s="32"/>
      <c r="AA19" s="24"/>
      <c r="AB19"/>
    </row>
    <row r="20" spans="1:28" ht="16" thickBot="1" x14ac:dyDescent="0.25"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spans="1:28" s="10" customFormat="1" ht="16" thickBot="1" x14ac:dyDescent="0.25">
      <c r="A21" s="5" t="s">
        <v>11</v>
      </c>
      <c r="B21" s="6" t="s">
        <v>3</v>
      </c>
      <c r="C21" s="7" t="s">
        <v>4</v>
      </c>
      <c r="D21" s="54" t="s">
        <v>5</v>
      </c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6"/>
      <c r="Z21" s="24"/>
      <c r="AA21" s="24"/>
      <c r="AB21"/>
    </row>
    <row r="22" spans="1:28" s="10" customFormat="1" ht="16" thickBot="1" x14ac:dyDescent="0.25">
      <c r="A22" s="11"/>
      <c r="B22" s="7">
        <v>4</v>
      </c>
      <c r="C22" s="12">
        <f>$C$1-B22</f>
        <v>20</v>
      </c>
      <c r="D22" s="25">
        <v>1</v>
      </c>
      <c r="E22" s="26">
        <f>D22+1</f>
        <v>2</v>
      </c>
      <c r="F22" s="26">
        <f t="shared" ref="F22:Y22" si="10">E22+1</f>
        <v>3</v>
      </c>
      <c r="G22" s="26">
        <f t="shared" si="10"/>
        <v>4</v>
      </c>
      <c r="H22" s="26">
        <f t="shared" si="10"/>
        <v>5</v>
      </c>
      <c r="I22" s="26">
        <f t="shared" si="10"/>
        <v>6</v>
      </c>
      <c r="J22" s="26">
        <f t="shared" si="10"/>
        <v>7</v>
      </c>
      <c r="K22" s="26">
        <f t="shared" si="10"/>
        <v>8</v>
      </c>
      <c r="L22" s="26">
        <f t="shared" si="10"/>
        <v>9</v>
      </c>
      <c r="M22" s="26">
        <f t="shared" si="10"/>
        <v>10</v>
      </c>
      <c r="N22" s="26">
        <f t="shared" si="10"/>
        <v>11</v>
      </c>
      <c r="O22" s="26">
        <f t="shared" si="10"/>
        <v>12</v>
      </c>
      <c r="P22" s="26">
        <f t="shared" si="10"/>
        <v>13</v>
      </c>
      <c r="Q22" s="26">
        <f t="shared" si="10"/>
        <v>14</v>
      </c>
      <c r="R22" s="26">
        <f t="shared" si="10"/>
        <v>15</v>
      </c>
      <c r="S22" s="26">
        <f t="shared" si="10"/>
        <v>16</v>
      </c>
      <c r="T22" s="26">
        <f t="shared" si="10"/>
        <v>17</v>
      </c>
      <c r="U22" s="26">
        <f t="shared" si="10"/>
        <v>18</v>
      </c>
      <c r="V22" s="26">
        <f t="shared" si="10"/>
        <v>19</v>
      </c>
      <c r="W22" s="26">
        <f t="shared" si="10"/>
        <v>20</v>
      </c>
      <c r="X22" s="26">
        <f t="shared" si="10"/>
        <v>21</v>
      </c>
      <c r="Y22" s="27">
        <f t="shared" si="10"/>
        <v>22</v>
      </c>
      <c r="Z22" s="24"/>
      <c r="AA22" s="24"/>
      <c r="AB22"/>
    </row>
    <row r="23" spans="1:28" s="10" customFormat="1" x14ac:dyDescent="0.2">
      <c r="C23" s="13" t="s">
        <v>6</v>
      </c>
      <c r="D23" s="15">
        <f>COMBIN($C$22,D22)/COMBIN($C$1,D22)</f>
        <v>0.83333333333333337</v>
      </c>
      <c r="E23" s="15">
        <f>COMBIN($C$22,E22)/COMBIN($C$1,E22)</f>
        <v>0.68840579710144922</v>
      </c>
      <c r="F23" s="15">
        <f>COMBIN($C$22,F22)/COMBIN($C$1,F22)</f>
        <v>0.56324110671936756</v>
      </c>
      <c r="G23" s="15">
        <f>COMBIN($C$22,G22)/COMBIN($C$1,G22)</f>
        <v>0.45595708639186899</v>
      </c>
      <c r="H23" s="15">
        <f>COMBIN($C$22,H22)/COMBIN($C$1,H22)</f>
        <v>0.36476566911349523</v>
      </c>
      <c r="I23" s="15">
        <f>COMBIN($C$22,I22)/COMBIN($C$1,I22)</f>
        <v>0.28797289666854881</v>
      </c>
      <c r="J23" s="15">
        <f>COMBIN($C$22,J22)/COMBIN($C$1,J22)</f>
        <v>0.22397891963109354</v>
      </c>
      <c r="K23" s="15">
        <f>COMBIN($C$22,K22)/COMBIN($C$1,K22)</f>
        <v>0.17127799736495392</v>
      </c>
      <c r="L23" s="15">
        <f>COMBIN($C$22,L22)/COMBIN($C$1,L22)</f>
        <v>0.12845849802371542</v>
      </c>
      <c r="M23" s="15">
        <f>COMBIN($C$22,M22)/COMBIN($C$1,M22)</f>
        <v>9.420289855072464E-2</v>
      </c>
      <c r="N23" s="15">
        <f>COMBIN($C$22,N22)/COMBIN($C$1,N22)</f>
        <v>6.7287784679089011E-2</v>
      </c>
      <c r="O23" s="15">
        <f>COMBIN($C$22,O22)/COMBIN($C$1,O22)</f>
        <v>4.6583850931677009E-2</v>
      </c>
      <c r="P23" s="15">
        <f>COMBIN($C$22,P22)/COMBIN($C$1,P22)</f>
        <v>3.1055900621118005E-2</v>
      </c>
      <c r="Q23" s="15">
        <f>COMBIN($C$22,Q22)/COMBIN($C$1,Q22)</f>
        <v>1.9762845849802372E-2</v>
      </c>
      <c r="R23" s="15">
        <f>COMBIN($C$22,R22)/COMBIN($C$1,R22)</f>
        <v>1.1857707509881422E-2</v>
      </c>
      <c r="S23" s="15">
        <f>COMBIN($C$22,S22)/COMBIN($C$1,S22)</f>
        <v>6.587615283267457E-3</v>
      </c>
      <c r="T23" s="15">
        <f>COMBIN($C$22,T22)/COMBIN($C$1,T22)</f>
        <v>3.2938076416337285E-3</v>
      </c>
      <c r="U23" s="15">
        <f>COMBIN($C$22,U22)/COMBIN($C$1,U22)</f>
        <v>1.4116318464144548E-3</v>
      </c>
      <c r="V23" s="15">
        <f>COMBIN($C$22,V22)/COMBIN($C$1,V22)</f>
        <v>4.7054394880481843E-4</v>
      </c>
      <c r="W23" s="15">
        <f>COMBIN($C$22,W22)/COMBIN($C$1,W22)</f>
        <v>9.4108789760963672E-5</v>
      </c>
      <c r="X23" s="15"/>
      <c r="Y23" s="28"/>
      <c r="Z23" s="24"/>
      <c r="AA23" s="24"/>
      <c r="AB23"/>
    </row>
    <row r="24" spans="1:28" s="10" customFormat="1" x14ac:dyDescent="0.2">
      <c r="C24" s="17" t="s">
        <v>7</v>
      </c>
      <c r="D24" s="18">
        <f>1/D23</f>
        <v>1.2</v>
      </c>
      <c r="E24" s="19">
        <f t="shared" ref="E24:W24" si="11">1/E23</f>
        <v>1.4526315789473685</v>
      </c>
      <c r="F24" s="19">
        <f t="shared" si="11"/>
        <v>1.7754385964912283</v>
      </c>
      <c r="G24" s="19">
        <f t="shared" si="11"/>
        <v>2.193188854489164</v>
      </c>
      <c r="H24" s="19">
        <f t="shared" si="11"/>
        <v>2.7414860681114548</v>
      </c>
      <c r="I24" s="19">
        <f t="shared" si="11"/>
        <v>3.4725490196078437</v>
      </c>
      <c r="J24" s="19">
        <f t="shared" si="11"/>
        <v>4.4647058823529413</v>
      </c>
      <c r="K24" s="19">
        <f t="shared" si="11"/>
        <v>5.8384615384615373</v>
      </c>
      <c r="L24" s="19">
        <f t="shared" si="11"/>
        <v>7.7846153846153845</v>
      </c>
      <c r="M24" s="19">
        <f t="shared" si="11"/>
        <v>10.615384615384615</v>
      </c>
      <c r="N24" s="19">
        <f t="shared" si="11"/>
        <v>14.861538461538466</v>
      </c>
      <c r="O24" s="19">
        <f t="shared" si="11"/>
        <v>21.466666666666672</v>
      </c>
      <c r="P24" s="19">
        <f t="shared" si="11"/>
        <v>32.20000000000001</v>
      </c>
      <c r="Q24" s="19">
        <f t="shared" si="11"/>
        <v>50.6</v>
      </c>
      <c r="R24" s="19">
        <f t="shared" si="11"/>
        <v>84.333333333333343</v>
      </c>
      <c r="S24" s="19">
        <f t="shared" si="11"/>
        <v>151.80000000000001</v>
      </c>
      <c r="T24" s="19">
        <f t="shared" si="11"/>
        <v>303.60000000000002</v>
      </c>
      <c r="U24" s="19">
        <f t="shared" si="11"/>
        <v>708.4000000000002</v>
      </c>
      <c r="V24" s="19">
        <f t="shared" si="11"/>
        <v>2125.1999999999998</v>
      </c>
      <c r="W24" s="19">
        <f t="shared" si="11"/>
        <v>10626</v>
      </c>
      <c r="X24" s="19"/>
      <c r="Y24" s="29"/>
      <c r="Z24" s="24"/>
      <c r="AA24" s="24"/>
      <c r="AB24"/>
    </row>
    <row r="25" spans="1:28" s="10" customFormat="1" ht="16" thickBot="1" x14ac:dyDescent="0.25">
      <c r="C25" s="20" t="s">
        <v>8</v>
      </c>
      <c r="D25" s="30">
        <f>$F$1*D24</f>
        <v>1.1160000000000001</v>
      </c>
      <c r="E25" s="31">
        <f t="shared" ref="E25:W25" si="12">$F$1*E24</f>
        <v>1.3509473684210527</v>
      </c>
      <c r="F25" s="31">
        <f t="shared" si="12"/>
        <v>1.6511578947368424</v>
      </c>
      <c r="G25" s="31">
        <f t="shared" si="12"/>
        <v>2.0396656346749227</v>
      </c>
      <c r="H25" s="31">
        <f t="shared" si="12"/>
        <v>2.5495820433436531</v>
      </c>
      <c r="I25" s="31">
        <f t="shared" si="12"/>
        <v>3.2294705882352948</v>
      </c>
      <c r="J25" s="31">
        <f t="shared" si="12"/>
        <v>4.1521764705882358</v>
      </c>
      <c r="K25" s="31">
        <f t="shared" si="12"/>
        <v>5.4297692307692298</v>
      </c>
      <c r="L25" s="31">
        <f t="shared" si="12"/>
        <v>7.2396923076923079</v>
      </c>
      <c r="M25" s="31">
        <f t="shared" si="12"/>
        <v>9.8723076923076931</v>
      </c>
      <c r="N25" s="31">
        <f t="shared" si="12"/>
        <v>13.821230769230773</v>
      </c>
      <c r="O25" s="31">
        <f t="shared" si="12"/>
        <v>19.964000000000006</v>
      </c>
      <c r="P25" s="31">
        <f t="shared" si="12"/>
        <v>29.946000000000012</v>
      </c>
      <c r="Q25" s="31">
        <f t="shared" si="12"/>
        <v>47.058000000000007</v>
      </c>
      <c r="R25" s="31">
        <f t="shared" si="12"/>
        <v>78.430000000000007</v>
      </c>
      <c r="S25" s="31">
        <f t="shared" si="12"/>
        <v>141.17400000000001</v>
      </c>
      <c r="T25" s="31">
        <f t="shared" si="12"/>
        <v>282.34800000000001</v>
      </c>
      <c r="U25" s="31">
        <f t="shared" si="12"/>
        <v>658.81200000000024</v>
      </c>
      <c r="V25" s="31">
        <f t="shared" si="12"/>
        <v>1976.4359999999999</v>
      </c>
      <c r="W25" s="31">
        <f t="shared" si="12"/>
        <v>9882.18</v>
      </c>
      <c r="X25" s="31"/>
      <c r="Y25" s="32"/>
      <c r="Z25" s="24"/>
      <c r="AA25" s="24"/>
      <c r="AB25"/>
    </row>
    <row r="26" spans="1:28" ht="16" thickBot="1" x14ac:dyDescent="0.25"/>
    <row r="27" spans="1:28" s="10" customFormat="1" ht="16" thickBot="1" x14ac:dyDescent="0.25">
      <c r="A27" s="5" t="s">
        <v>12</v>
      </c>
      <c r="B27" s="6" t="s">
        <v>3</v>
      </c>
      <c r="C27" s="7" t="s">
        <v>4</v>
      </c>
      <c r="D27" s="51" t="s">
        <v>5</v>
      </c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3"/>
      <c r="Y27"/>
      <c r="Z27"/>
      <c r="AA27"/>
      <c r="AB27"/>
    </row>
    <row r="28" spans="1:28" s="10" customFormat="1" ht="16" thickBot="1" x14ac:dyDescent="0.25">
      <c r="A28" s="11"/>
      <c r="B28" s="7">
        <v>5</v>
      </c>
      <c r="C28" s="12">
        <f>$C$1-B28</f>
        <v>19</v>
      </c>
      <c r="D28" s="6">
        <v>1</v>
      </c>
      <c r="E28" s="8">
        <f>D28+1</f>
        <v>2</v>
      </c>
      <c r="F28" s="8">
        <f t="shared" ref="F28:X28" si="13">E28+1</f>
        <v>3</v>
      </c>
      <c r="G28" s="8">
        <f t="shared" si="13"/>
        <v>4</v>
      </c>
      <c r="H28" s="8">
        <f t="shared" si="13"/>
        <v>5</v>
      </c>
      <c r="I28" s="8">
        <f t="shared" si="13"/>
        <v>6</v>
      </c>
      <c r="J28" s="8">
        <f t="shared" si="13"/>
        <v>7</v>
      </c>
      <c r="K28" s="8">
        <f t="shared" si="13"/>
        <v>8</v>
      </c>
      <c r="L28" s="8">
        <f t="shared" si="13"/>
        <v>9</v>
      </c>
      <c r="M28" s="8">
        <f t="shared" si="13"/>
        <v>10</v>
      </c>
      <c r="N28" s="8">
        <f t="shared" si="13"/>
        <v>11</v>
      </c>
      <c r="O28" s="8">
        <f t="shared" si="13"/>
        <v>12</v>
      </c>
      <c r="P28" s="8">
        <f t="shared" si="13"/>
        <v>13</v>
      </c>
      <c r="Q28" s="8">
        <f t="shared" si="13"/>
        <v>14</v>
      </c>
      <c r="R28" s="8">
        <f t="shared" si="13"/>
        <v>15</v>
      </c>
      <c r="S28" s="8">
        <f t="shared" si="13"/>
        <v>16</v>
      </c>
      <c r="T28" s="8">
        <f t="shared" si="13"/>
        <v>17</v>
      </c>
      <c r="U28" s="8">
        <f t="shared" si="13"/>
        <v>18</v>
      </c>
      <c r="V28" s="8">
        <f t="shared" si="13"/>
        <v>19</v>
      </c>
      <c r="W28" s="8">
        <f t="shared" si="13"/>
        <v>20</v>
      </c>
      <c r="X28" s="9">
        <f t="shared" si="13"/>
        <v>21</v>
      </c>
      <c r="Y28"/>
      <c r="Z28"/>
      <c r="AA28"/>
      <c r="AB28"/>
    </row>
    <row r="29" spans="1:28" s="10" customFormat="1" x14ac:dyDescent="0.2">
      <c r="C29" s="13" t="s">
        <v>6</v>
      </c>
      <c r="D29" s="33">
        <f>COMBIN($C$28,D28)/COMBIN($C$1,D28)</f>
        <v>0.79166666666666663</v>
      </c>
      <c r="E29" s="15">
        <f>COMBIN($C$28,E28)/COMBIN($C$1,E28)</f>
        <v>0.61956521739130432</v>
      </c>
      <c r="F29" s="15">
        <f>COMBIN($C$28,F28)/COMBIN($C$1,F28)</f>
        <v>0.47875494071146241</v>
      </c>
      <c r="G29" s="15">
        <f>COMBIN($C$28,G28)/COMBIN($C$1,G28)</f>
        <v>0.36476566911349523</v>
      </c>
      <c r="H29" s="15">
        <f>COMBIN($C$28,H28)/COMBIN($C$1,H28)</f>
        <v>0.27357425183512146</v>
      </c>
      <c r="I29" s="15">
        <f>COMBIN($C$28,I28)/COMBIN($C$1,I28)</f>
        <v>0.20158102766798414</v>
      </c>
      <c r="J29" s="15">
        <f>COMBIN($C$28,J28)/COMBIN($C$1,J28)</f>
        <v>0.14558629776021081</v>
      </c>
      <c r="K29" s="15">
        <f>COMBIN($C$28,K28)/COMBIN($C$1,K28)</f>
        <v>0.10276679841897231</v>
      </c>
      <c r="L29" s="15">
        <f>COMBIN($C$28,L28)/COMBIN($C$1,L28)</f>
        <v>7.0652173913043473E-2</v>
      </c>
      <c r="M29" s="15">
        <f>COMBIN($C$28,M28)/COMBIN($C$1,M28)</f>
        <v>4.710144927536232E-2</v>
      </c>
      <c r="N29" s="15">
        <f>COMBIN($C$28,N28)/COMBIN($C$1,N28)</f>
        <v>3.027950310559005E-2</v>
      </c>
      <c r="O29" s="15">
        <f>COMBIN($C$28,O28)/COMBIN($C$1,O28)</f>
        <v>1.8633540372670804E-2</v>
      </c>
      <c r="P29" s="15">
        <f>COMBIN($C$28,P28)/COMBIN($C$1,P28)</f>
        <v>1.0869565217391302E-2</v>
      </c>
      <c r="Q29" s="15">
        <f>COMBIN($C$28,Q28)/COMBIN($C$1,Q28)</f>
        <v>5.9288537549407111E-3</v>
      </c>
      <c r="R29" s="15">
        <f>COMBIN($C$28,R28)/COMBIN($C$1,R28)</f>
        <v>2.9644268774703555E-3</v>
      </c>
      <c r="S29" s="15">
        <f>COMBIN($C$28,S28)/COMBIN($C$1,S28)</f>
        <v>1.3175230566534915E-3</v>
      </c>
      <c r="T29" s="15">
        <f>COMBIN($C$28,T28)/COMBIN($C$1,T28)</f>
        <v>4.9407114624505926E-4</v>
      </c>
      <c r="U29" s="15">
        <f>COMBIN($C$28,U28)/COMBIN($C$1,U28)</f>
        <v>1.4116318464144547E-4</v>
      </c>
      <c r="V29" s="15">
        <f>COMBIN($C$28,V28)/COMBIN($C$1,V28)</f>
        <v>2.3527197440240921E-5</v>
      </c>
      <c r="W29" s="34"/>
      <c r="X29" s="28"/>
      <c r="Y29"/>
      <c r="Z29"/>
      <c r="AA29"/>
      <c r="AB29"/>
    </row>
    <row r="30" spans="1:28" s="10" customFormat="1" x14ac:dyDescent="0.2">
      <c r="C30" s="17" t="s">
        <v>7</v>
      </c>
      <c r="D30" s="35">
        <f>1/D29</f>
        <v>1.2631578947368423</v>
      </c>
      <c r="E30" s="19">
        <f t="shared" ref="E30:V30" si="14">1/E29</f>
        <v>1.6140350877192984</v>
      </c>
      <c r="F30" s="19">
        <f t="shared" si="14"/>
        <v>2.0887512899896801</v>
      </c>
      <c r="G30" s="19">
        <f t="shared" si="14"/>
        <v>2.7414860681114548</v>
      </c>
      <c r="H30" s="19">
        <f t="shared" si="14"/>
        <v>3.6553147574819391</v>
      </c>
      <c r="I30" s="19">
        <f t="shared" si="14"/>
        <v>4.9607843137254912</v>
      </c>
      <c r="J30" s="19">
        <f t="shared" si="14"/>
        <v>6.868778280542986</v>
      </c>
      <c r="K30" s="19">
        <f t="shared" si="14"/>
        <v>9.7307692307692335</v>
      </c>
      <c r="L30" s="19">
        <f t="shared" si="14"/>
        <v>14.153846153846155</v>
      </c>
      <c r="M30" s="19">
        <f t="shared" si="14"/>
        <v>21.23076923076923</v>
      </c>
      <c r="N30" s="19">
        <f t="shared" si="14"/>
        <v>33.025641025641036</v>
      </c>
      <c r="O30" s="19">
        <f t="shared" si="14"/>
        <v>53.666666666666679</v>
      </c>
      <c r="P30" s="19">
        <f t="shared" si="14"/>
        <v>92.000000000000014</v>
      </c>
      <c r="Q30" s="19">
        <f t="shared" si="14"/>
        <v>168.66666666666669</v>
      </c>
      <c r="R30" s="19">
        <f t="shared" si="14"/>
        <v>337.33333333333337</v>
      </c>
      <c r="S30" s="19">
        <f t="shared" si="14"/>
        <v>759</v>
      </c>
      <c r="T30" s="19">
        <f t="shared" si="14"/>
        <v>2024.0000000000002</v>
      </c>
      <c r="U30" s="19">
        <f t="shared" si="14"/>
        <v>7084.0000000000018</v>
      </c>
      <c r="V30" s="19">
        <f t="shared" si="14"/>
        <v>42503.999999999993</v>
      </c>
      <c r="W30" s="19"/>
      <c r="X30" s="29"/>
      <c r="Y30"/>
      <c r="Z30"/>
      <c r="AA30"/>
      <c r="AB30"/>
    </row>
    <row r="31" spans="1:28" s="10" customFormat="1" ht="16" thickBot="1" x14ac:dyDescent="0.25">
      <c r="C31" s="20" t="s">
        <v>8</v>
      </c>
      <c r="D31" s="30">
        <f>$F$1*D30</f>
        <v>1.1747368421052633</v>
      </c>
      <c r="E31" s="31">
        <f t="shared" ref="E31:V31" si="15">$F$1*E30</f>
        <v>1.5010526315789476</v>
      </c>
      <c r="F31" s="31">
        <f t="shared" si="15"/>
        <v>1.9425386996904026</v>
      </c>
      <c r="G31" s="31">
        <f t="shared" si="15"/>
        <v>2.5495820433436531</v>
      </c>
      <c r="H31" s="31">
        <f t="shared" si="15"/>
        <v>3.3994427244582037</v>
      </c>
      <c r="I31" s="31">
        <f t="shared" si="15"/>
        <v>4.6135294117647074</v>
      </c>
      <c r="J31" s="31">
        <f t="shared" si="15"/>
        <v>6.3879638009049771</v>
      </c>
      <c r="K31" s="31">
        <f t="shared" si="15"/>
        <v>9.0496153846153877</v>
      </c>
      <c r="L31" s="31">
        <f t="shared" si="15"/>
        <v>13.163076923076925</v>
      </c>
      <c r="M31" s="31">
        <f t="shared" si="15"/>
        <v>19.744615384615386</v>
      </c>
      <c r="N31" s="31">
        <f t="shared" si="15"/>
        <v>30.713846153846166</v>
      </c>
      <c r="O31" s="31">
        <f t="shared" si="15"/>
        <v>49.910000000000011</v>
      </c>
      <c r="P31" s="31">
        <f t="shared" si="15"/>
        <v>85.560000000000016</v>
      </c>
      <c r="Q31" s="31">
        <f t="shared" si="15"/>
        <v>156.86000000000001</v>
      </c>
      <c r="R31" s="31">
        <f t="shared" si="15"/>
        <v>313.72000000000003</v>
      </c>
      <c r="S31" s="31">
        <f t="shared" si="15"/>
        <v>705.87</v>
      </c>
      <c r="T31" s="31">
        <f t="shared" si="15"/>
        <v>1882.3200000000004</v>
      </c>
      <c r="U31" s="31">
        <f t="shared" si="15"/>
        <v>6588.1200000000017</v>
      </c>
      <c r="V31" s="31">
        <f t="shared" si="15"/>
        <v>39528.719999999994</v>
      </c>
      <c r="W31" s="31"/>
      <c r="X31" s="32"/>
      <c r="Y31"/>
      <c r="Z31"/>
      <c r="AA31"/>
      <c r="AB31"/>
    </row>
    <row r="32" spans="1:28" ht="16" thickBot="1" x14ac:dyDescent="0.25"/>
    <row r="33" spans="1:28" s="10" customFormat="1" ht="16" thickBot="1" x14ac:dyDescent="0.25">
      <c r="A33" s="5" t="s">
        <v>13</v>
      </c>
      <c r="B33" s="6" t="s">
        <v>3</v>
      </c>
      <c r="C33" s="7" t="s">
        <v>4</v>
      </c>
      <c r="D33" s="51" t="s">
        <v>5</v>
      </c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3"/>
      <c r="X33"/>
      <c r="Y33"/>
      <c r="Z33"/>
      <c r="AA33"/>
      <c r="AB33"/>
    </row>
    <row r="34" spans="1:28" s="10" customFormat="1" ht="16" thickBot="1" x14ac:dyDescent="0.25">
      <c r="A34" s="11"/>
      <c r="B34" s="7">
        <v>6</v>
      </c>
      <c r="C34" s="12">
        <f>$C$1-B34</f>
        <v>18</v>
      </c>
      <c r="D34" s="6">
        <v>1</v>
      </c>
      <c r="E34" s="8">
        <f>D34+1</f>
        <v>2</v>
      </c>
      <c r="F34" s="8">
        <f t="shared" ref="F34:W34" si="16">E34+1</f>
        <v>3</v>
      </c>
      <c r="G34" s="8">
        <f t="shared" si="16"/>
        <v>4</v>
      </c>
      <c r="H34" s="8">
        <f t="shared" si="16"/>
        <v>5</v>
      </c>
      <c r="I34" s="8">
        <f t="shared" si="16"/>
        <v>6</v>
      </c>
      <c r="J34" s="8">
        <f t="shared" si="16"/>
        <v>7</v>
      </c>
      <c r="K34" s="8">
        <f t="shared" si="16"/>
        <v>8</v>
      </c>
      <c r="L34" s="8">
        <f t="shared" si="16"/>
        <v>9</v>
      </c>
      <c r="M34" s="8">
        <f t="shared" si="16"/>
        <v>10</v>
      </c>
      <c r="N34" s="8">
        <f t="shared" si="16"/>
        <v>11</v>
      </c>
      <c r="O34" s="8">
        <f t="shared" si="16"/>
        <v>12</v>
      </c>
      <c r="P34" s="8">
        <f t="shared" si="16"/>
        <v>13</v>
      </c>
      <c r="Q34" s="8">
        <f t="shared" si="16"/>
        <v>14</v>
      </c>
      <c r="R34" s="8">
        <f t="shared" si="16"/>
        <v>15</v>
      </c>
      <c r="S34" s="8">
        <f t="shared" si="16"/>
        <v>16</v>
      </c>
      <c r="T34" s="8">
        <f t="shared" si="16"/>
        <v>17</v>
      </c>
      <c r="U34" s="8">
        <f t="shared" si="16"/>
        <v>18</v>
      </c>
      <c r="V34" s="8">
        <f t="shared" si="16"/>
        <v>19</v>
      </c>
      <c r="W34" s="9">
        <f t="shared" si="16"/>
        <v>20</v>
      </c>
      <c r="X34"/>
      <c r="Y34"/>
      <c r="Z34"/>
      <c r="AA34"/>
      <c r="AB34"/>
    </row>
    <row r="35" spans="1:28" s="10" customFormat="1" x14ac:dyDescent="0.2">
      <c r="C35" s="13" t="s">
        <v>6</v>
      </c>
      <c r="D35" s="5">
        <f>COMBIN($C$34,D34)/COMBIN($C$1,D34)</f>
        <v>0.75</v>
      </c>
      <c r="E35" s="36">
        <f>COMBIN($C$34,E34)/COMBIN($C$1,E34)</f>
        <v>0.55434782608695654</v>
      </c>
      <c r="F35" s="36">
        <f>COMBIN($C$34,F34)/COMBIN($C$1,F34)</f>
        <v>0.40316205533596833</v>
      </c>
      <c r="G35" s="36">
        <f>COMBIN($C$34,G34)/COMBIN($C$1,G34)</f>
        <v>0.28797289666854886</v>
      </c>
      <c r="H35" s="36">
        <f>COMBIN($C$34,H34)/COMBIN($C$1,H34)</f>
        <v>0.20158102766798422</v>
      </c>
      <c r="I35" s="36">
        <f>COMBIN($C$34,I34)/COMBIN($C$1,I34)</f>
        <v>0.13792386103598919</v>
      </c>
      <c r="J35" s="36">
        <f>COMBIN($C$34,J34)/COMBIN($C$1,J34)</f>
        <v>9.1949240690659448E-2</v>
      </c>
      <c r="K35" s="36">
        <f>COMBIN($C$34,K34)/COMBIN($C$1,K34)</f>
        <v>5.9496567505720827E-2</v>
      </c>
      <c r="L35" s="36">
        <f>COMBIN($C$34,L34)/COMBIN($C$1,L34)</f>
        <v>3.7185354691075506E-2</v>
      </c>
      <c r="M35" s="36">
        <f>COMBIN($C$34,M34)/COMBIN($C$1,M34)</f>
        <v>2.231121281464531E-2</v>
      </c>
      <c r="N35" s="36">
        <f>COMBIN($C$34,N34)/COMBIN($C$1,N34)</f>
        <v>1.2749264465511601E-2</v>
      </c>
      <c r="O35" s="36">
        <f>COMBIN($C$34,O34)/COMBIN($C$1,O34)</f>
        <v>6.8649885583524015E-3</v>
      </c>
      <c r="P35" s="36">
        <f>COMBIN($C$34,P34)/COMBIN($C$1,P34)</f>
        <v>3.4324942791762007E-3</v>
      </c>
      <c r="Q35" s="36">
        <f>COMBIN($C$34,Q34)/COMBIN($C$1,Q34)</f>
        <v>1.5602246723528188E-3</v>
      </c>
      <c r="R35" s="36">
        <f>COMBIN($C$34,R34)/COMBIN($C$1,R34)</f>
        <v>6.2408986894112747E-4</v>
      </c>
      <c r="S35" s="36">
        <f>COMBIN($C$34,S34)/COMBIN($C$1,S34)</f>
        <v>2.0802995631370917E-4</v>
      </c>
      <c r="T35" s="36">
        <f>COMBIN($C$34,T34)/COMBIN($C$1,T34)</f>
        <v>5.2007489078427292E-5</v>
      </c>
      <c r="U35" s="36">
        <f>COMBIN($C$34,U34)/COMBIN($C$1,U34)</f>
        <v>7.4296412969181836E-6</v>
      </c>
      <c r="V35" s="36"/>
      <c r="W35" s="16"/>
      <c r="X35"/>
      <c r="Y35" s="10" t="e">
        <f>1/V35</f>
        <v>#DIV/0!</v>
      </c>
      <c r="Z35"/>
      <c r="AA35"/>
      <c r="AB35"/>
    </row>
    <row r="36" spans="1:28" s="10" customFormat="1" x14ac:dyDescent="0.2">
      <c r="C36" s="17" t="s">
        <v>7</v>
      </c>
      <c r="D36" s="37">
        <f>1/D35</f>
        <v>1.3333333333333333</v>
      </c>
      <c r="E36" s="10">
        <f t="shared" ref="E36:U36" si="17">1/E35</f>
        <v>1.803921568627451</v>
      </c>
      <c r="F36" s="10">
        <f t="shared" si="17"/>
        <v>2.4803921568627456</v>
      </c>
      <c r="G36" s="10">
        <f t="shared" si="17"/>
        <v>3.4725490196078428</v>
      </c>
      <c r="H36" s="10">
        <f t="shared" si="17"/>
        <v>4.9607843137254894</v>
      </c>
      <c r="I36" s="10">
        <f t="shared" si="17"/>
        <v>7.2503770739064848</v>
      </c>
      <c r="J36" s="10">
        <f t="shared" si="17"/>
        <v>10.875565610859729</v>
      </c>
      <c r="K36" s="10">
        <f t="shared" si="17"/>
        <v>16.807692307692307</v>
      </c>
      <c r="L36" s="10">
        <f t="shared" si="17"/>
        <v>26.8923076923077</v>
      </c>
      <c r="M36" s="10">
        <f t="shared" si="17"/>
        <v>44.820512820512818</v>
      </c>
      <c r="N36" s="10">
        <f t="shared" si="17"/>
        <v>78.435897435897459</v>
      </c>
      <c r="O36" s="10">
        <f t="shared" si="17"/>
        <v>145.66666666666669</v>
      </c>
      <c r="P36" s="10">
        <f t="shared" si="17"/>
        <v>291.33333333333337</v>
      </c>
      <c r="Q36" s="10">
        <f t="shared" si="17"/>
        <v>640.93333333333328</v>
      </c>
      <c r="R36" s="10">
        <f t="shared" si="17"/>
        <v>1602.3333333333335</v>
      </c>
      <c r="S36" s="10">
        <f t="shared" si="17"/>
        <v>4807</v>
      </c>
      <c r="T36" s="10">
        <f t="shared" si="17"/>
        <v>19228</v>
      </c>
      <c r="U36" s="10">
        <f t="shared" si="17"/>
        <v>134596.00000000003</v>
      </c>
      <c r="W36" s="12"/>
      <c r="X36"/>
      <c r="Y36"/>
      <c r="Z36"/>
      <c r="AA36"/>
      <c r="AB36"/>
    </row>
    <row r="37" spans="1:28" s="10" customFormat="1" ht="16" thickBot="1" x14ac:dyDescent="0.25">
      <c r="C37" s="20" t="s">
        <v>8</v>
      </c>
      <c r="D37" s="11">
        <f>$F$1*D36</f>
        <v>1.24</v>
      </c>
      <c r="E37" s="38">
        <f t="shared" ref="E37:U37" si="18">$F$1*E36</f>
        <v>1.6776470588235295</v>
      </c>
      <c r="F37" s="38">
        <f t="shared" si="18"/>
        <v>2.3067647058823537</v>
      </c>
      <c r="G37" s="38">
        <f t="shared" si="18"/>
        <v>3.2294705882352939</v>
      </c>
      <c r="H37" s="38">
        <f t="shared" si="18"/>
        <v>4.6135294117647057</v>
      </c>
      <c r="I37" s="38">
        <f t="shared" si="18"/>
        <v>6.7428506787330313</v>
      </c>
      <c r="J37" s="38">
        <f t="shared" si="18"/>
        <v>10.114276018099549</v>
      </c>
      <c r="K37" s="38">
        <f t="shared" si="18"/>
        <v>15.631153846153847</v>
      </c>
      <c r="L37" s="38">
        <f t="shared" si="18"/>
        <v>25.009846153846162</v>
      </c>
      <c r="M37" s="38">
        <f t="shared" si="18"/>
        <v>41.683076923076925</v>
      </c>
      <c r="N37" s="38">
        <f t="shared" si="18"/>
        <v>72.94538461538464</v>
      </c>
      <c r="O37" s="38">
        <f t="shared" si="18"/>
        <v>135.47000000000003</v>
      </c>
      <c r="P37" s="38">
        <f t="shared" si="18"/>
        <v>270.94000000000005</v>
      </c>
      <c r="Q37" s="38">
        <f t="shared" si="18"/>
        <v>596.06799999999998</v>
      </c>
      <c r="R37" s="38">
        <f t="shared" si="18"/>
        <v>1490.1700000000003</v>
      </c>
      <c r="S37" s="38">
        <f t="shared" si="18"/>
        <v>4470.51</v>
      </c>
      <c r="T37" s="38">
        <f t="shared" si="18"/>
        <v>17882.04</v>
      </c>
      <c r="U37" s="38">
        <f t="shared" si="18"/>
        <v>125174.28000000003</v>
      </c>
      <c r="V37" s="38"/>
      <c r="W37" s="23"/>
      <c r="X37"/>
      <c r="Y37"/>
      <c r="Z37"/>
      <c r="AA37"/>
      <c r="AB37"/>
    </row>
    <row r="38" spans="1:28" ht="16" thickBot="1" x14ac:dyDescent="0.25"/>
    <row r="39" spans="1:28" s="10" customFormat="1" ht="16" thickBot="1" x14ac:dyDescent="0.25">
      <c r="A39" s="5" t="s">
        <v>14</v>
      </c>
      <c r="B39" s="6" t="s">
        <v>3</v>
      </c>
      <c r="C39" s="7" t="s">
        <v>4</v>
      </c>
      <c r="D39" s="51" t="s">
        <v>5</v>
      </c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3"/>
      <c r="W39"/>
      <c r="X39"/>
      <c r="Y39"/>
      <c r="Z39"/>
      <c r="AA39"/>
      <c r="AB39"/>
    </row>
    <row r="40" spans="1:28" s="10" customFormat="1" ht="16" thickBot="1" x14ac:dyDescent="0.25">
      <c r="A40" s="11"/>
      <c r="B40" s="7">
        <v>7</v>
      </c>
      <c r="C40" s="12">
        <f>$C$1-B40</f>
        <v>17</v>
      </c>
      <c r="D40" s="6">
        <v>1</v>
      </c>
      <c r="E40" s="8">
        <f>D40+1</f>
        <v>2</v>
      </c>
      <c r="F40" s="8">
        <f t="shared" ref="F40:V40" si="19">E40+1</f>
        <v>3</v>
      </c>
      <c r="G40" s="8">
        <f t="shared" si="19"/>
        <v>4</v>
      </c>
      <c r="H40" s="8">
        <f t="shared" si="19"/>
        <v>5</v>
      </c>
      <c r="I40" s="8">
        <f t="shared" si="19"/>
        <v>6</v>
      </c>
      <c r="J40" s="8">
        <f t="shared" si="19"/>
        <v>7</v>
      </c>
      <c r="K40" s="8">
        <f t="shared" si="19"/>
        <v>8</v>
      </c>
      <c r="L40" s="8">
        <f t="shared" si="19"/>
        <v>9</v>
      </c>
      <c r="M40" s="8">
        <f t="shared" si="19"/>
        <v>10</v>
      </c>
      <c r="N40" s="8">
        <f t="shared" si="19"/>
        <v>11</v>
      </c>
      <c r="O40" s="8">
        <f t="shared" si="19"/>
        <v>12</v>
      </c>
      <c r="P40" s="8">
        <f t="shared" si="19"/>
        <v>13</v>
      </c>
      <c r="Q40" s="8">
        <f t="shared" si="19"/>
        <v>14</v>
      </c>
      <c r="R40" s="8">
        <f t="shared" si="19"/>
        <v>15</v>
      </c>
      <c r="S40" s="8">
        <f t="shared" si="19"/>
        <v>16</v>
      </c>
      <c r="T40" s="8">
        <f t="shared" si="19"/>
        <v>17</v>
      </c>
      <c r="U40" s="8">
        <f t="shared" si="19"/>
        <v>18</v>
      </c>
      <c r="V40" s="9">
        <f t="shared" si="19"/>
        <v>19</v>
      </c>
      <c r="W40"/>
      <c r="X40"/>
      <c r="Y40"/>
      <c r="Z40"/>
      <c r="AA40"/>
      <c r="AB40"/>
    </row>
    <row r="41" spans="1:28" s="10" customFormat="1" x14ac:dyDescent="0.2">
      <c r="C41" s="13" t="s">
        <v>6</v>
      </c>
      <c r="D41" s="5">
        <f>COMBIN($C$40,D40)/COMBIN($C$1,D40)</f>
        <v>0.70833333333333337</v>
      </c>
      <c r="E41" s="34">
        <f>COMBIN($C$40,E40)/COMBIN($C$1,E40)</f>
        <v>0.49275362318840582</v>
      </c>
      <c r="F41" s="34">
        <f>COMBIN($C$40,F40)/COMBIN($C$1,F40)</f>
        <v>0.33596837944664026</v>
      </c>
      <c r="G41" s="34">
        <f>COMBIN($C$40,G40)/COMBIN($C$1,G40)</f>
        <v>0.22397891963109354</v>
      </c>
      <c r="H41" s="34">
        <f>COMBIN($C$40,H40)/COMBIN($C$1,H40)</f>
        <v>0.14558629776021084</v>
      </c>
      <c r="I41" s="34">
        <f>COMBIN($C$40,I40)/COMBIN($C$1,I40)</f>
        <v>9.1949240690659434E-2</v>
      </c>
      <c r="J41" s="34">
        <f>COMBIN($C$40,J40)/COMBIN($C$1,J40)</f>
        <v>5.6191202644291886E-2</v>
      </c>
      <c r="K41" s="34">
        <f>COMBIN($C$40,K40)/COMBIN($C$1,K40)</f>
        <v>3.3053648614289347E-2</v>
      </c>
      <c r="L41" s="34">
        <f>COMBIN($C$40,L40)/COMBIN($C$1,L40)</f>
        <v>1.8592677345537757E-2</v>
      </c>
      <c r="M41" s="34">
        <f>COMBIN($C$40,M40)/COMBIN($C$1,M40)</f>
        <v>9.9160945842868033E-3</v>
      </c>
      <c r="N41" s="34">
        <f>COMBIN($C$40,N40)/COMBIN($C$1,N40)</f>
        <v>4.9580472921434008E-3</v>
      </c>
      <c r="O41" s="34">
        <f>COMBIN($C$40,O40)/COMBIN($C$1,O40)</f>
        <v>2.2883295194508005E-3</v>
      </c>
      <c r="P41" s="34">
        <f>COMBIN($C$40,P40)/COMBIN($C$1,P40)</f>
        <v>9.5347063310450024E-4</v>
      </c>
      <c r="Q41" s="34">
        <f>COMBIN($C$40,Q40)/COMBIN($C$1,Q40)</f>
        <v>3.4671659385618195E-4</v>
      </c>
      <c r="R41" s="34">
        <f>COMBIN($C$40,R40)/COMBIN($C$1,R40)</f>
        <v>1.0401497815685458E-4</v>
      </c>
      <c r="S41" s="34">
        <f>COMBIN($C$40,S40)/COMBIN($C$1,S40)</f>
        <v>2.3114439590412129E-5</v>
      </c>
      <c r="T41" s="34">
        <f>COMBIN($C$40,T40)/COMBIN($C$1,T40)</f>
        <v>2.8893049488015161E-6</v>
      </c>
      <c r="U41" s="34"/>
      <c r="V41" s="39"/>
      <c r="W41"/>
      <c r="X41"/>
      <c r="Y41"/>
      <c r="Z41"/>
      <c r="AA41"/>
      <c r="AB41"/>
    </row>
    <row r="42" spans="1:28" s="10" customFormat="1" x14ac:dyDescent="0.2">
      <c r="C42" s="17" t="s">
        <v>7</v>
      </c>
      <c r="D42" s="40">
        <f>1/D41</f>
        <v>1.4117647058823528</v>
      </c>
      <c r="E42" s="41">
        <f t="shared" ref="E42:T42" si="20">1/E41</f>
        <v>2.0294117647058822</v>
      </c>
      <c r="F42" s="41">
        <f t="shared" si="20"/>
        <v>2.9764705882352946</v>
      </c>
      <c r="G42" s="41">
        <f t="shared" si="20"/>
        <v>4.4647058823529413</v>
      </c>
      <c r="H42" s="41">
        <f t="shared" si="20"/>
        <v>6.8687782805429842</v>
      </c>
      <c r="I42" s="41">
        <f t="shared" si="20"/>
        <v>10.875565610859731</v>
      </c>
      <c r="J42" s="41">
        <f t="shared" si="20"/>
        <v>17.796380090497738</v>
      </c>
      <c r="K42" s="41">
        <f t="shared" si="20"/>
        <v>30.253846153846155</v>
      </c>
      <c r="L42" s="41">
        <f t="shared" si="20"/>
        <v>53.784615384615385</v>
      </c>
      <c r="M42" s="41">
        <f t="shared" si="20"/>
        <v>100.84615384615385</v>
      </c>
      <c r="N42" s="41">
        <f t="shared" si="20"/>
        <v>201.69230769230774</v>
      </c>
      <c r="O42" s="41">
        <f t="shared" si="20"/>
        <v>437.00000000000006</v>
      </c>
      <c r="P42" s="41">
        <f t="shared" si="20"/>
        <v>1048.8000000000002</v>
      </c>
      <c r="Q42" s="41">
        <f t="shared" si="20"/>
        <v>2884.2</v>
      </c>
      <c r="R42" s="41">
        <f t="shared" si="20"/>
        <v>9614</v>
      </c>
      <c r="S42" s="41">
        <f t="shared" si="20"/>
        <v>43263</v>
      </c>
      <c r="T42" s="41">
        <f t="shared" si="20"/>
        <v>346104</v>
      </c>
      <c r="U42" s="41"/>
      <c r="V42" s="42"/>
      <c r="W42"/>
      <c r="X42"/>
      <c r="Y42"/>
      <c r="Z42"/>
      <c r="AA42"/>
      <c r="AB42"/>
    </row>
    <row r="43" spans="1:28" s="10" customFormat="1" ht="16" thickBot="1" x14ac:dyDescent="0.25">
      <c r="C43" s="20" t="s">
        <v>8</v>
      </c>
      <c r="D43" s="11">
        <f>$F$1*D42</f>
        <v>1.3129411764705883</v>
      </c>
      <c r="E43" s="31">
        <f t="shared" ref="E43:T43" si="21">$F$1*E42</f>
        <v>1.8873529411764707</v>
      </c>
      <c r="F43" s="31">
        <f t="shared" si="21"/>
        <v>2.768117647058824</v>
      </c>
      <c r="G43" s="31">
        <f t="shared" si="21"/>
        <v>4.1521764705882358</v>
      </c>
      <c r="H43" s="31">
        <f t="shared" si="21"/>
        <v>6.3879638009049753</v>
      </c>
      <c r="I43" s="31">
        <f t="shared" si="21"/>
        <v>10.114276018099551</v>
      </c>
      <c r="J43" s="31">
        <f t="shared" si="21"/>
        <v>16.550633484162898</v>
      </c>
      <c r="K43" s="31">
        <f t="shared" si="21"/>
        <v>28.136076923076924</v>
      </c>
      <c r="L43" s="31">
        <f t="shared" si="21"/>
        <v>50.01969230769231</v>
      </c>
      <c r="M43" s="31">
        <f t="shared" si="21"/>
        <v>93.786923076923088</v>
      </c>
      <c r="N43" s="31">
        <f t="shared" si="21"/>
        <v>187.5738461538462</v>
      </c>
      <c r="O43" s="31">
        <f t="shared" si="21"/>
        <v>406.41000000000008</v>
      </c>
      <c r="P43" s="31">
        <f t="shared" si="21"/>
        <v>975.38400000000024</v>
      </c>
      <c r="Q43" s="31">
        <f t="shared" si="21"/>
        <v>2682.306</v>
      </c>
      <c r="R43" s="31">
        <f t="shared" si="21"/>
        <v>8941.02</v>
      </c>
      <c r="S43" s="31">
        <f t="shared" si="21"/>
        <v>40234.590000000004</v>
      </c>
      <c r="T43" s="31">
        <f t="shared" si="21"/>
        <v>321876.72000000003</v>
      </c>
      <c r="U43" s="31"/>
      <c r="V43" s="43"/>
      <c r="W43"/>
      <c r="X43"/>
      <c r="Y43"/>
      <c r="Z43"/>
      <c r="AA43"/>
      <c r="AB43"/>
    </row>
    <row r="44" spans="1:28" ht="16" thickBot="1" x14ac:dyDescent="0.25"/>
    <row r="45" spans="1:28" s="10" customFormat="1" ht="16" thickBot="1" x14ac:dyDescent="0.25">
      <c r="A45" s="5" t="s">
        <v>15</v>
      </c>
      <c r="B45" s="6" t="s">
        <v>3</v>
      </c>
      <c r="C45" s="7" t="s">
        <v>4</v>
      </c>
      <c r="D45" s="51" t="s">
        <v>5</v>
      </c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3"/>
      <c r="V45"/>
      <c r="W45"/>
      <c r="X45"/>
      <c r="Y45"/>
      <c r="Z45"/>
      <c r="AA45"/>
      <c r="AB45"/>
    </row>
    <row r="46" spans="1:28" s="10" customFormat="1" ht="16" thickBot="1" x14ac:dyDescent="0.25">
      <c r="A46" s="11"/>
      <c r="B46" s="7">
        <v>8</v>
      </c>
      <c r="C46" s="12">
        <f>$C$1-B46</f>
        <v>16</v>
      </c>
      <c r="D46" s="6">
        <v>1</v>
      </c>
      <c r="E46" s="8">
        <f>D46+1</f>
        <v>2</v>
      </c>
      <c r="F46" s="8">
        <f t="shared" ref="F46:U46" si="22">E46+1</f>
        <v>3</v>
      </c>
      <c r="G46" s="8">
        <f t="shared" si="22"/>
        <v>4</v>
      </c>
      <c r="H46" s="8">
        <f t="shared" si="22"/>
        <v>5</v>
      </c>
      <c r="I46" s="8">
        <f t="shared" si="22"/>
        <v>6</v>
      </c>
      <c r="J46" s="8">
        <f t="shared" si="22"/>
        <v>7</v>
      </c>
      <c r="K46" s="8">
        <f t="shared" si="22"/>
        <v>8</v>
      </c>
      <c r="L46" s="8">
        <f t="shared" si="22"/>
        <v>9</v>
      </c>
      <c r="M46" s="8">
        <f t="shared" si="22"/>
        <v>10</v>
      </c>
      <c r="N46" s="8">
        <f t="shared" si="22"/>
        <v>11</v>
      </c>
      <c r="O46" s="8">
        <f t="shared" si="22"/>
        <v>12</v>
      </c>
      <c r="P46" s="8">
        <f t="shared" si="22"/>
        <v>13</v>
      </c>
      <c r="Q46" s="8">
        <f t="shared" si="22"/>
        <v>14</v>
      </c>
      <c r="R46" s="8">
        <f t="shared" si="22"/>
        <v>15</v>
      </c>
      <c r="S46" s="8">
        <f t="shared" si="22"/>
        <v>16</v>
      </c>
      <c r="T46" s="8">
        <f t="shared" si="22"/>
        <v>17</v>
      </c>
      <c r="U46" s="9">
        <f t="shared" si="22"/>
        <v>18</v>
      </c>
      <c r="V46"/>
      <c r="W46"/>
      <c r="X46"/>
      <c r="Y46"/>
      <c r="Z46"/>
      <c r="AA46"/>
      <c r="AB46"/>
    </row>
    <row r="47" spans="1:28" s="10" customFormat="1" x14ac:dyDescent="0.2">
      <c r="C47" s="13" t="s">
        <v>6</v>
      </c>
      <c r="D47" s="37">
        <f>COMBIN($C$46,D46)/COMBIN($C$1,D46)</f>
        <v>0.66666666666666663</v>
      </c>
      <c r="E47" s="10">
        <f>COMBIN($C$46,E46)/COMBIN($C$1,E46)</f>
        <v>0.43478260869565216</v>
      </c>
      <c r="F47" s="10">
        <f>COMBIN($C$46,F46)/COMBIN($C$1,F46)</f>
        <v>0.27667984189723316</v>
      </c>
      <c r="G47" s="10">
        <f>COMBIN($C$46,G46)/COMBIN($C$1,G46)</f>
        <v>0.17127799736495392</v>
      </c>
      <c r="H47" s="10">
        <f>COMBIN($C$46,H46)/COMBIN($C$1,H46)</f>
        <v>0.10276679841897235</v>
      </c>
      <c r="I47" s="10">
        <f>COMBIN($C$46,I46)/COMBIN($C$1,I46)</f>
        <v>5.9496567505720813E-2</v>
      </c>
      <c r="J47" s="10">
        <f>COMBIN($C$46,J46)/COMBIN($C$1,J46)</f>
        <v>3.3053648614289347E-2</v>
      </c>
      <c r="K47" s="10">
        <f>COMBIN($C$46,K46)/COMBIN($C$1,K46)</f>
        <v>1.7498990442859064E-2</v>
      </c>
      <c r="L47" s="10">
        <f>COMBIN($C$46,L46)/COMBIN($C$1,L46)</f>
        <v>8.7494952214295322E-3</v>
      </c>
      <c r="M47" s="10">
        <f>COMBIN($C$46,M46)/COMBIN($C$1,M46)</f>
        <v>4.0830977700004488E-3</v>
      </c>
      <c r="N47" s="10">
        <f>COMBIN($C$46,N46)/COMBIN($C$1,N46)</f>
        <v>1.7498990442859062E-3</v>
      </c>
      <c r="O47" s="10">
        <f>COMBIN($C$46,O46)/COMBIN($C$1,O46)</f>
        <v>6.7303809395611778E-4</v>
      </c>
      <c r="P47" s="10">
        <f>COMBIN($C$46,P46)/COMBIN($C$1,P46)</f>
        <v>2.2434603131870593E-4</v>
      </c>
      <c r="Q47" s="10">
        <f>COMBIN($C$46,Q46)/COMBIN($C$1,Q46)</f>
        <v>6.1185281268737987E-5</v>
      </c>
      <c r="R47" s="10">
        <f>COMBIN($C$46,R46)/COMBIN($C$1,R46)</f>
        <v>1.2237056253747598E-5</v>
      </c>
      <c r="S47" s="10">
        <f>COMBIN($C$46,S46)/COMBIN($C$1,S46)</f>
        <v>1.3596729170830664E-6</v>
      </c>
      <c r="U47" s="12"/>
      <c r="V47"/>
      <c r="W47"/>
      <c r="X47"/>
      <c r="Y47"/>
      <c r="Z47"/>
      <c r="AA47"/>
      <c r="AB47"/>
    </row>
    <row r="48" spans="1:28" s="10" customFormat="1" x14ac:dyDescent="0.2">
      <c r="C48" s="17" t="s">
        <v>7</v>
      </c>
      <c r="D48" s="37">
        <f>1/D47</f>
        <v>1.5</v>
      </c>
      <c r="E48" s="10">
        <f t="shared" ref="E48:S48" si="23">1/E47</f>
        <v>2.3000000000000003</v>
      </c>
      <c r="F48" s="10">
        <f t="shared" si="23"/>
        <v>3.6142857142857148</v>
      </c>
      <c r="G48" s="10">
        <f t="shared" si="23"/>
        <v>5.8384615384615373</v>
      </c>
      <c r="H48" s="10">
        <f t="shared" si="23"/>
        <v>9.7307692307692299</v>
      </c>
      <c r="I48" s="10">
        <f t="shared" si="23"/>
        <v>16.80769230769231</v>
      </c>
      <c r="J48" s="10">
        <f t="shared" si="23"/>
        <v>30.253846153846155</v>
      </c>
      <c r="K48" s="10">
        <f t="shared" si="23"/>
        <v>57.146153846153851</v>
      </c>
      <c r="L48" s="10">
        <f t="shared" si="23"/>
        <v>114.2923076923077</v>
      </c>
      <c r="M48" s="10">
        <f t="shared" si="23"/>
        <v>244.91208791208791</v>
      </c>
      <c r="N48" s="10">
        <f t="shared" si="23"/>
        <v>571.46153846153857</v>
      </c>
      <c r="O48" s="10">
        <f t="shared" si="23"/>
        <v>1485.8000000000004</v>
      </c>
      <c r="P48" s="10">
        <f t="shared" si="23"/>
        <v>4457.4000000000005</v>
      </c>
      <c r="Q48" s="10">
        <f t="shared" si="23"/>
        <v>16343.800000000001</v>
      </c>
      <c r="R48" s="10">
        <f t="shared" si="23"/>
        <v>81719</v>
      </c>
      <c r="S48" s="10">
        <f t="shared" si="23"/>
        <v>735471</v>
      </c>
      <c r="U48" s="12"/>
      <c r="V48"/>
      <c r="W48"/>
      <c r="X48"/>
      <c r="Y48"/>
      <c r="Z48"/>
      <c r="AA48"/>
      <c r="AB48"/>
    </row>
    <row r="49" spans="1:28" s="10" customFormat="1" ht="16" thickBot="1" x14ac:dyDescent="0.25">
      <c r="C49" s="20" t="s">
        <v>8</v>
      </c>
      <c r="D49" s="30">
        <f>$F$1*D48</f>
        <v>1.395</v>
      </c>
      <c r="E49" s="31">
        <f t="shared" ref="E49:S49" si="24">$F$1*E48</f>
        <v>2.1390000000000002</v>
      </c>
      <c r="F49" s="31">
        <f t="shared" si="24"/>
        <v>3.3612857142857151</v>
      </c>
      <c r="G49" s="31">
        <f t="shared" si="24"/>
        <v>5.4297692307692298</v>
      </c>
      <c r="H49" s="31">
        <f t="shared" si="24"/>
        <v>9.0496153846153842</v>
      </c>
      <c r="I49" s="31">
        <f t="shared" si="24"/>
        <v>15.631153846153849</v>
      </c>
      <c r="J49" s="31">
        <f t="shared" si="24"/>
        <v>28.136076923076924</v>
      </c>
      <c r="K49" s="31">
        <f t="shared" si="24"/>
        <v>53.145923076923083</v>
      </c>
      <c r="L49" s="31">
        <f t="shared" si="24"/>
        <v>106.29184615384617</v>
      </c>
      <c r="M49" s="31">
        <f t="shared" si="24"/>
        <v>227.76824175824177</v>
      </c>
      <c r="N49" s="31">
        <f t="shared" si="24"/>
        <v>531.45923076923089</v>
      </c>
      <c r="O49" s="31">
        <f t="shared" si="24"/>
        <v>1381.7940000000006</v>
      </c>
      <c r="P49" s="31">
        <f t="shared" si="24"/>
        <v>4145.3820000000005</v>
      </c>
      <c r="Q49" s="31">
        <f t="shared" si="24"/>
        <v>15199.734000000002</v>
      </c>
      <c r="R49" s="31">
        <f t="shared" si="24"/>
        <v>75998.67</v>
      </c>
      <c r="S49" s="31">
        <f t="shared" si="24"/>
        <v>683988.03</v>
      </c>
      <c r="T49" s="31"/>
      <c r="U49" s="23"/>
      <c r="V49"/>
      <c r="W49"/>
      <c r="X49"/>
      <c r="Y49"/>
      <c r="Z49"/>
      <c r="AA49"/>
      <c r="AB49"/>
    </row>
    <row r="50" spans="1:28" ht="16" thickBot="1" x14ac:dyDescent="0.25"/>
    <row r="51" spans="1:28" s="10" customFormat="1" ht="16" thickBot="1" x14ac:dyDescent="0.25">
      <c r="A51" s="5" t="s">
        <v>16</v>
      </c>
      <c r="B51" s="6" t="s">
        <v>3</v>
      </c>
      <c r="C51" s="7" t="s">
        <v>4</v>
      </c>
      <c r="D51" s="51" t="s">
        <v>5</v>
      </c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3"/>
      <c r="U51"/>
      <c r="V51"/>
      <c r="W51"/>
      <c r="X51"/>
      <c r="Y51"/>
      <c r="Z51"/>
      <c r="AA51"/>
      <c r="AB51"/>
    </row>
    <row r="52" spans="1:28" s="10" customFormat="1" ht="16" thickBot="1" x14ac:dyDescent="0.25">
      <c r="A52" s="11"/>
      <c r="B52" s="7">
        <v>9</v>
      </c>
      <c r="C52" s="12">
        <f>$C$1-B52</f>
        <v>15</v>
      </c>
      <c r="D52" s="6">
        <v>1</v>
      </c>
      <c r="E52" s="8">
        <f>D52+1</f>
        <v>2</v>
      </c>
      <c r="F52" s="8">
        <f t="shared" ref="F52:T52" si="25">E52+1</f>
        <v>3</v>
      </c>
      <c r="G52" s="8">
        <f t="shared" si="25"/>
        <v>4</v>
      </c>
      <c r="H52" s="8">
        <f t="shared" si="25"/>
        <v>5</v>
      </c>
      <c r="I52" s="8">
        <f t="shared" si="25"/>
        <v>6</v>
      </c>
      <c r="J52" s="8">
        <f t="shared" si="25"/>
        <v>7</v>
      </c>
      <c r="K52" s="8">
        <f t="shared" si="25"/>
        <v>8</v>
      </c>
      <c r="L52" s="8">
        <f t="shared" si="25"/>
        <v>9</v>
      </c>
      <c r="M52" s="8">
        <f t="shared" si="25"/>
        <v>10</v>
      </c>
      <c r="N52" s="8">
        <f t="shared" si="25"/>
        <v>11</v>
      </c>
      <c r="O52" s="8">
        <f t="shared" si="25"/>
        <v>12</v>
      </c>
      <c r="P52" s="8">
        <f t="shared" si="25"/>
        <v>13</v>
      </c>
      <c r="Q52" s="8">
        <f t="shared" si="25"/>
        <v>14</v>
      </c>
      <c r="R52" s="8">
        <f t="shared" si="25"/>
        <v>15</v>
      </c>
      <c r="S52" s="8">
        <f t="shared" si="25"/>
        <v>16</v>
      </c>
      <c r="T52" s="9">
        <f t="shared" si="25"/>
        <v>17</v>
      </c>
      <c r="U52"/>
      <c r="V52"/>
      <c r="W52"/>
      <c r="X52"/>
      <c r="Y52"/>
      <c r="Z52"/>
      <c r="AA52"/>
      <c r="AB52"/>
    </row>
    <row r="53" spans="1:28" s="10" customFormat="1" x14ac:dyDescent="0.2">
      <c r="C53" s="13" t="s">
        <v>6</v>
      </c>
      <c r="D53" s="37">
        <f>COMBIN($C$52,D52)/COMBIN($C$1,D52)</f>
        <v>0.625</v>
      </c>
      <c r="E53" s="36">
        <f>COMBIN($C$52,E52)/COMBIN($C$1,E52)</f>
        <v>0.38043478260869568</v>
      </c>
      <c r="F53" s="36">
        <f>COMBIN($C$52,F52)/COMBIN($C$1,F52)</f>
        <v>0.22480237154150198</v>
      </c>
      <c r="G53" s="36">
        <f>COMBIN($C$52,G52)/COMBIN($C$1,G52)</f>
        <v>0.12845849802371542</v>
      </c>
      <c r="H53" s="36">
        <f>COMBIN($C$52,H52)/COMBIN($C$1,H52)</f>
        <v>7.0652173913043487E-2</v>
      </c>
      <c r="I53" s="36">
        <f>COMBIN($C$52,I52)/COMBIN($C$1,I52)</f>
        <v>3.7185354691075506E-2</v>
      </c>
      <c r="J53" s="36">
        <f>COMBIN($C$52,J52)/COMBIN($C$1,J52)</f>
        <v>1.8592677345537753E-2</v>
      </c>
      <c r="K53" s="36">
        <f>COMBIN($C$52,K52)/COMBIN($C$1,K52)</f>
        <v>8.7494952214295322E-3</v>
      </c>
      <c r="L53" s="36">
        <f>COMBIN($C$52,L52)/COMBIN($C$1,L52)</f>
        <v>3.8279041593754204E-3</v>
      </c>
      <c r="M53" s="36">
        <f>COMBIN($C$52,M52)/COMBIN($C$1,M52)</f>
        <v>1.5311616637501682E-3</v>
      </c>
      <c r="N53" s="36">
        <f>COMBIN($C$52,N52)/COMBIN($C$1,N52)</f>
        <v>5.4684345133934565E-4</v>
      </c>
      <c r="O53" s="36">
        <f>COMBIN($C$52,O52)/COMBIN($C$1,O52)</f>
        <v>1.6825952348902944E-4</v>
      </c>
      <c r="P53" s="36">
        <f>COMBIN($C$52,P52)/COMBIN($C$1,P52)</f>
        <v>4.2064880872257361E-5</v>
      </c>
      <c r="Q53" s="36">
        <f>COMBIN($C$52,Q52)/COMBIN($C$1,Q52)</f>
        <v>7.6481601585922484E-6</v>
      </c>
      <c r="R53" s="36">
        <f>COMBIN($C$52,R52)/COMBIN($C$1,R52)</f>
        <v>7.6481601585922486E-7</v>
      </c>
      <c r="S53" s="36"/>
      <c r="T53" s="16"/>
      <c r="U53"/>
      <c r="V53"/>
      <c r="W53"/>
      <c r="X53"/>
      <c r="Y53"/>
      <c r="Z53"/>
      <c r="AA53"/>
      <c r="AB53"/>
    </row>
    <row r="54" spans="1:28" s="10" customFormat="1" x14ac:dyDescent="0.2">
      <c r="C54" s="17" t="s">
        <v>7</v>
      </c>
      <c r="D54" s="37">
        <f>1/D53</f>
        <v>1.6</v>
      </c>
      <c r="E54" s="10">
        <f t="shared" ref="E54:R54" si="26">1/E53</f>
        <v>2.6285714285714286</v>
      </c>
      <c r="F54" s="10">
        <f t="shared" si="26"/>
        <v>4.4483516483516485</v>
      </c>
      <c r="G54" s="10">
        <f t="shared" si="26"/>
        <v>7.7846153846153845</v>
      </c>
      <c r="H54" s="10">
        <f t="shared" si="26"/>
        <v>14.153846153846152</v>
      </c>
      <c r="I54" s="10">
        <f t="shared" si="26"/>
        <v>26.8923076923077</v>
      </c>
      <c r="J54" s="10">
        <f t="shared" si="26"/>
        <v>53.7846153846154</v>
      </c>
      <c r="K54" s="10">
        <f t="shared" si="26"/>
        <v>114.2923076923077</v>
      </c>
      <c r="L54" s="10">
        <f t="shared" si="26"/>
        <v>261.23956043956048</v>
      </c>
      <c r="M54" s="10">
        <f t="shared" si="26"/>
        <v>653.09890109890114</v>
      </c>
      <c r="N54" s="10">
        <f t="shared" si="26"/>
        <v>1828.6769230769237</v>
      </c>
      <c r="O54" s="10">
        <f t="shared" si="26"/>
        <v>5943.2000000000016</v>
      </c>
      <c r="P54" s="10">
        <f t="shared" si="26"/>
        <v>23772.800000000007</v>
      </c>
      <c r="Q54" s="10">
        <f t="shared" si="26"/>
        <v>130750.40000000001</v>
      </c>
      <c r="R54" s="10">
        <f t="shared" si="26"/>
        <v>1307504</v>
      </c>
      <c r="T54" s="12"/>
      <c r="U54"/>
      <c r="V54"/>
      <c r="W54"/>
      <c r="X54"/>
      <c r="Y54"/>
      <c r="Z54"/>
      <c r="AA54"/>
      <c r="AB54"/>
    </row>
    <row r="55" spans="1:28" s="10" customFormat="1" ht="16" thickBot="1" x14ac:dyDescent="0.25">
      <c r="C55" s="20" t="s">
        <v>8</v>
      </c>
      <c r="D55" s="11">
        <f>$F$1*D54</f>
        <v>1.4880000000000002</v>
      </c>
      <c r="E55" s="38">
        <f t="shared" ref="E55:R55" si="27">$F$1*E54</f>
        <v>2.4445714285714288</v>
      </c>
      <c r="F55" s="22">
        <f t="shared" si="27"/>
        <v>4.1369670329670329</v>
      </c>
      <c r="G55" s="22">
        <f t="shared" si="27"/>
        <v>7.2396923076923079</v>
      </c>
      <c r="H55" s="22">
        <f t="shared" si="27"/>
        <v>13.163076923076922</v>
      </c>
      <c r="I55" s="22">
        <f t="shared" si="27"/>
        <v>25.009846153846162</v>
      </c>
      <c r="J55" s="22">
        <f t="shared" si="27"/>
        <v>50.019692307692324</v>
      </c>
      <c r="K55" s="22">
        <f t="shared" si="27"/>
        <v>106.29184615384617</v>
      </c>
      <c r="L55" s="22">
        <f t="shared" si="27"/>
        <v>242.95279120879127</v>
      </c>
      <c r="M55" s="22">
        <f t="shared" si="27"/>
        <v>607.38197802197806</v>
      </c>
      <c r="N55" s="22">
        <f t="shared" si="27"/>
        <v>1700.6695384615391</v>
      </c>
      <c r="O55" s="22">
        <f t="shared" si="27"/>
        <v>5527.1760000000022</v>
      </c>
      <c r="P55" s="22">
        <f t="shared" si="27"/>
        <v>22108.704000000009</v>
      </c>
      <c r="Q55" s="22">
        <f t="shared" si="27"/>
        <v>121597.87200000002</v>
      </c>
      <c r="R55" s="22">
        <f t="shared" si="27"/>
        <v>1215978.72</v>
      </c>
      <c r="S55" s="22"/>
      <c r="T55" s="23"/>
      <c r="U55"/>
      <c r="V55"/>
      <c r="W55"/>
      <c r="X55"/>
      <c r="Y55"/>
      <c r="Z55"/>
      <c r="AA55"/>
      <c r="AB55"/>
    </row>
    <row r="56" spans="1:28" ht="16" thickBot="1" x14ac:dyDescent="0.25"/>
    <row r="57" spans="1:28" s="10" customFormat="1" ht="16" thickBot="1" x14ac:dyDescent="0.25">
      <c r="A57" s="5" t="s">
        <v>17</v>
      </c>
      <c r="B57" s="6" t="s">
        <v>3</v>
      </c>
      <c r="C57" s="7" t="s">
        <v>4</v>
      </c>
      <c r="D57" s="51" t="s">
        <v>5</v>
      </c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3"/>
      <c r="T57"/>
      <c r="U57"/>
      <c r="V57"/>
      <c r="W57"/>
      <c r="X57"/>
      <c r="Y57"/>
      <c r="Z57"/>
      <c r="AA57"/>
      <c r="AB57"/>
    </row>
    <row r="58" spans="1:28" s="10" customFormat="1" ht="16" thickBot="1" x14ac:dyDescent="0.25">
      <c r="A58" s="11"/>
      <c r="B58" s="7">
        <v>10</v>
      </c>
      <c r="C58" s="12">
        <f>$C$1-B58</f>
        <v>14</v>
      </c>
      <c r="D58" s="6">
        <v>1</v>
      </c>
      <c r="E58" s="8">
        <f>D58+1</f>
        <v>2</v>
      </c>
      <c r="F58" s="8">
        <f t="shared" ref="F58:S58" si="28">E58+1</f>
        <v>3</v>
      </c>
      <c r="G58" s="8">
        <f t="shared" si="28"/>
        <v>4</v>
      </c>
      <c r="H58" s="8">
        <f t="shared" si="28"/>
        <v>5</v>
      </c>
      <c r="I58" s="8">
        <f t="shared" si="28"/>
        <v>6</v>
      </c>
      <c r="J58" s="8">
        <f t="shared" si="28"/>
        <v>7</v>
      </c>
      <c r="K58" s="8">
        <f t="shared" si="28"/>
        <v>8</v>
      </c>
      <c r="L58" s="8">
        <f t="shared" si="28"/>
        <v>9</v>
      </c>
      <c r="M58" s="8">
        <f t="shared" si="28"/>
        <v>10</v>
      </c>
      <c r="N58" s="8">
        <f t="shared" si="28"/>
        <v>11</v>
      </c>
      <c r="O58" s="8">
        <f t="shared" si="28"/>
        <v>12</v>
      </c>
      <c r="P58" s="8">
        <f t="shared" si="28"/>
        <v>13</v>
      </c>
      <c r="Q58" s="8">
        <f t="shared" si="28"/>
        <v>14</v>
      </c>
      <c r="R58" s="8">
        <f t="shared" si="28"/>
        <v>15</v>
      </c>
      <c r="S58" s="9">
        <f t="shared" si="28"/>
        <v>16</v>
      </c>
      <c r="T58"/>
      <c r="U58"/>
      <c r="V58"/>
      <c r="W58"/>
      <c r="X58"/>
      <c r="Y58"/>
      <c r="Z58"/>
      <c r="AA58"/>
      <c r="AB58"/>
    </row>
    <row r="59" spans="1:28" s="10" customFormat="1" x14ac:dyDescent="0.2">
      <c r="C59" s="13" t="s">
        <v>6</v>
      </c>
      <c r="D59" s="5">
        <f>COMBIN($C$58,D58)/COMBIN($C$1,D58)</f>
        <v>0.58333333333333337</v>
      </c>
      <c r="E59" s="36">
        <f>COMBIN($C$58,E58)/COMBIN($C$1,E58)</f>
        <v>0.32971014492753625</v>
      </c>
      <c r="F59" s="36">
        <f>COMBIN($C$58,F58)/COMBIN($C$1,F58)</f>
        <v>0.17984189723320157</v>
      </c>
      <c r="G59" s="36">
        <f>COMBIN($C$58,G58)/COMBIN($C$1,G58)</f>
        <v>9.420289855072464E-2</v>
      </c>
      <c r="H59" s="36">
        <f>COMBIN($C$58,H58)/COMBIN($C$1,H58)</f>
        <v>4.7101449275362327E-2</v>
      </c>
      <c r="I59" s="36">
        <f>COMBIN($C$58,I58)/COMBIN($C$1,I58)</f>
        <v>2.23112128146453E-2</v>
      </c>
      <c r="J59" s="36">
        <f>COMBIN($C$58,J58)/COMBIN($C$1,J58)</f>
        <v>9.9160945842868033E-3</v>
      </c>
      <c r="K59" s="36">
        <f>COMBIN($C$58,K58)/COMBIN($C$1,K58)</f>
        <v>4.0830977700004479E-3</v>
      </c>
      <c r="L59" s="36">
        <f>COMBIN($C$58,L58)/COMBIN($C$1,L58)</f>
        <v>1.5311616637501682E-3</v>
      </c>
      <c r="M59" s="36">
        <f>COMBIN($C$58,M58)/COMBIN($C$1,M58)</f>
        <v>5.103872212500561E-4</v>
      </c>
      <c r="N59" s="36">
        <f>COMBIN($C$58,N58)/COMBIN($C$1,N58)</f>
        <v>1.4582492035715886E-4</v>
      </c>
      <c r="O59" s="36">
        <f>COMBIN($C$58,O58)/COMBIN($C$1,O58)</f>
        <v>3.3651904697805888E-5</v>
      </c>
      <c r="P59" s="36">
        <f>COMBIN($C$58,P58)/COMBIN($C$1,P58)</f>
        <v>5.6086507829676485E-6</v>
      </c>
      <c r="Q59" s="36">
        <f>COMBIN($C$58,Q58)/COMBIN($C$1,Q58)</f>
        <v>5.0987734390614998E-7</v>
      </c>
      <c r="R59" s="36"/>
      <c r="S59" s="16"/>
      <c r="T59"/>
      <c r="U59"/>
      <c r="V59"/>
      <c r="W59"/>
      <c r="X59"/>
      <c r="Y59"/>
      <c r="Z59"/>
      <c r="AA59"/>
      <c r="AB59"/>
    </row>
    <row r="60" spans="1:28" s="10" customFormat="1" x14ac:dyDescent="0.2">
      <c r="C60" s="17" t="s">
        <v>7</v>
      </c>
      <c r="D60" s="37">
        <f>1/D59</f>
        <v>1.7142857142857142</v>
      </c>
      <c r="E60" s="10">
        <f t="shared" ref="E60:Q60" si="29">1/E59</f>
        <v>3.0329670329670328</v>
      </c>
      <c r="F60" s="10">
        <f t="shared" si="29"/>
        <v>5.5604395604395611</v>
      </c>
      <c r="G60" s="10">
        <f t="shared" si="29"/>
        <v>10.615384615384615</v>
      </c>
      <c r="H60" s="10">
        <f t="shared" si="29"/>
        <v>21.230769230769226</v>
      </c>
      <c r="I60" s="10">
        <f t="shared" si="29"/>
        <v>44.820512820512839</v>
      </c>
      <c r="J60" s="10">
        <f t="shared" si="29"/>
        <v>100.84615384615385</v>
      </c>
      <c r="K60" s="10">
        <f t="shared" si="29"/>
        <v>244.91208791208797</v>
      </c>
      <c r="L60" s="10">
        <f t="shared" si="29"/>
        <v>653.09890109890114</v>
      </c>
      <c r="M60" s="10">
        <f t="shared" si="29"/>
        <v>1959.2967032967033</v>
      </c>
      <c r="N60" s="10">
        <f t="shared" si="29"/>
        <v>6857.5384615384628</v>
      </c>
      <c r="O60" s="10">
        <f t="shared" si="29"/>
        <v>29716.000000000007</v>
      </c>
      <c r="P60" s="10">
        <f t="shared" si="29"/>
        <v>178296.00000000003</v>
      </c>
      <c r="Q60" s="10">
        <f t="shared" si="29"/>
        <v>1961255.9999999998</v>
      </c>
      <c r="S60" s="12"/>
      <c r="T60"/>
      <c r="U60"/>
      <c r="V60"/>
      <c r="W60"/>
      <c r="X60"/>
      <c r="Y60"/>
      <c r="Z60"/>
      <c r="AA60"/>
      <c r="AB60"/>
    </row>
    <row r="61" spans="1:28" s="10" customFormat="1" ht="16" thickBot="1" x14ac:dyDescent="0.25">
      <c r="C61" s="20" t="s">
        <v>8</v>
      </c>
      <c r="D61" s="11">
        <f>$F$1*D60</f>
        <v>1.5942857142857143</v>
      </c>
      <c r="E61" s="38">
        <f t="shared" ref="E61:Q61" si="30">$F$1*E60</f>
        <v>2.8206593406593408</v>
      </c>
      <c r="F61" s="38">
        <f t="shared" si="30"/>
        <v>5.1712087912087918</v>
      </c>
      <c r="G61" s="38">
        <f t="shared" si="30"/>
        <v>9.8723076923076931</v>
      </c>
      <c r="H61" s="38">
        <f t="shared" si="30"/>
        <v>19.744615384615383</v>
      </c>
      <c r="I61" s="38">
        <f t="shared" si="30"/>
        <v>41.683076923076939</v>
      </c>
      <c r="J61" s="38">
        <f t="shared" si="30"/>
        <v>93.786923076923088</v>
      </c>
      <c r="K61" s="38">
        <f t="shared" si="30"/>
        <v>227.76824175824183</v>
      </c>
      <c r="L61" s="38">
        <f t="shared" si="30"/>
        <v>607.38197802197806</v>
      </c>
      <c r="M61" s="38">
        <f t="shared" si="30"/>
        <v>1822.1459340659342</v>
      </c>
      <c r="N61" s="38">
        <f t="shared" si="30"/>
        <v>6377.5107692307711</v>
      </c>
      <c r="O61" s="38">
        <f t="shared" si="30"/>
        <v>27635.880000000008</v>
      </c>
      <c r="P61" s="38">
        <f t="shared" si="30"/>
        <v>165815.28000000003</v>
      </c>
      <c r="Q61" s="38">
        <f t="shared" si="30"/>
        <v>1823968.0799999998</v>
      </c>
      <c r="R61" s="38"/>
      <c r="S61" s="23"/>
      <c r="T61"/>
      <c r="U61"/>
      <c r="V61"/>
      <c r="W61"/>
      <c r="X61"/>
      <c r="Y61"/>
      <c r="Z61"/>
      <c r="AA61"/>
      <c r="AB61"/>
    </row>
    <row r="62" spans="1:28" ht="16" thickBot="1" x14ac:dyDescent="0.25"/>
    <row r="63" spans="1:28" s="10" customFormat="1" ht="16" thickBot="1" x14ac:dyDescent="0.25">
      <c r="A63" s="5" t="s">
        <v>18</v>
      </c>
      <c r="B63" s="6" t="s">
        <v>3</v>
      </c>
      <c r="C63" s="7" t="s">
        <v>4</v>
      </c>
      <c r="D63" s="51" t="s">
        <v>5</v>
      </c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3"/>
      <c r="S63"/>
      <c r="T63"/>
      <c r="U63"/>
      <c r="V63"/>
      <c r="W63"/>
      <c r="X63"/>
      <c r="Y63"/>
      <c r="Z63"/>
      <c r="AA63"/>
      <c r="AB63"/>
    </row>
    <row r="64" spans="1:28" s="10" customFormat="1" ht="16" thickBot="1" x14ac:dyDescent="0.25">
      <c r="A64" s="11"/>
      <c r="B64" s="7">
        <v>11</v>
      </c>
      <c r="C64" s="12">
        <f>$C$1-B64</f>
        <v>13</v>
      </c>
      <c r="D64" s="6">
        <v>1</v>
      </c>
      <c r="E64" s="8">
        <f>D64+1</f>
        <v>2</v>
      </c>
      <c r="F64" s="8">
        <f t="shared" ref="F64:R64" si="31">E64+1</f>
        <v>3</v>
      </c>
      <c r="G64" s="8">
        <f t="shared" si="31"/>
        <v>4</v>
      </c>
      <c r="H64" s="8">
        <f t="shared" si="31"/>
        <v>5</v>
      </c>
      <c r="I64" s="8">
        <f t="shared" si="31"/>
        <v>6</v>
      </c>
      <c r="J64" s="8">
        <f t="shared" si="31"/>
        <v>7</v>
      </c>
      <c r="K64" s="8">
        <f t="shared" si="31"/>
        <v>8</v>
      </c>
      <c r="L64" s="8">
        <f t="shared" si="31"/>
        <v>9</v>
      </c>
      <c r="M64" s="8">
        <f t="shared" si="31"/>
        <v>10</v>
      </c>
      <c r="N64" s="8">
        <f t="shared" si="31"/>
        <v>11</v>
      </c>
      <c r="O64" s="8">
        <f t="shared" si="31"/>
        <v>12</v>
      </c>
      <c r="P64" s="8">
        <f t="shared" si="31"/>
        <v>13</v>
      </c>
      <c r="Q64" s="8">
        <f t="shared" si="31"/>
        <v>14</v>
      </c>
      <c r="R64" s="9">
        <f t="shared" si="31"/>
        <v>15</v>
      </c>
      <c r="S64"/>
      <c r="T64"/>
      <c r="U64"/>
      <c r="V64"/>
      <c r="W64"/>
      <c r="X64"/>
      <c r="Y64"/>
      <c r="Z64"/>
      <c r="AA64"/>
      <c r="AB64"/>
    </row>
    <row r="65" spans="1:28" s="10" customFormat="1" x14ac:dyDescent="0.2">
      <c r="C65" s="13" t="s">
        <v>6</v>
      </c>
      <c r="D65" s="5">
        <f>COMBIN($C$64,D64)/COMBIN($C$1,D64)</f>
        <v>0.54166666666666663</v>
      </c>
      <c r="E65" s="36">
        <f>COMBIN($C$64,E64)/COMBIN($C$1,E64)</f>
        <v>0.28260869565217389</v>
      </c>
      <c r="F65" s="36">
        <f>COMBIN($C$64,F64)/COMBIN($C$1,F64)</f>
        <v>0.14130434782608695</v>
      </c>
      <c r="G65" s="36">
        <f>COMBIN($C$64,G64)/COMBIN($C$1,G64)</f>
        <v>6.7287784679089024E-2</v>
      </c>
      <c r="H65" s="36">
        <f>COMBIN($C$64,H64)/COMBIN($C$1,H64)</f>
        <v>3.0279503105590067E-2</v>
      </c>
      <c r="I65" s="36">
        <f>COMBIN($C$64,I64)/COMBIN($C$1,I64)</f>
        <v>1.2749264465511603E-2</v>
      </c>
      <c r="J65" s="36">
        <f>COMBIN($C$64,J64)/COMBIN($C$1,J64)</f>
        <v>4.9580472921434016E-3</v>
      </c>
      <c r="K65" s="36">
        <f>COMBIN($C$64,K64)/COMBIN($C$1,K64)</f>
        <v>1.7498990442859066E-3</v>
      </c>
      <c r="L65" s="36">
        <f>COMBIN($C$64,L64)/COMBIN($C$1,L64)</f>
        <v>5.4684345133934576E-4</v>
      </c>
      <c r="M65" s="36">
        <f>COMBIN($C$64,M64)/COMBIN($C$1,M64)</f>
        <v>1.4582492035715888E-4</v>
      </c>
      <c r="N65" s="36">
        <f>COMBIN($C$64,N64)/COMBIN($C$1,N64)</f>
        <v>3.1248197219391185E-5</v>
      </c>
      <c r="O65" s="36">
        <f>COMBIN($C$64,O64)/COMBIN($C$1,O64)</f>
        <v>4.8074149568294117E-6</v>
      </c>
      <c r="P65" s="36">
        <f>COMBIN($C$64,P64)/COMBIN($C$1,P64)</f>
        <v>4.0061791306911773E-7</v>
      </c>
      <c r="Q65" s="36"/>
      <c r="R65" s="16">
        <f t="shared" ref="R65" si="32">1-(R64/25)</f>
        <v>0.4</v>
      </c>
      <c r="S65"/>
      <c r="T65"/>
      <c r="U65"/>
      <c r="V65"/>
      <c r="W65"/>
      <c r="X65"/>
      <c r="Y65"/>
      <c r="Z65"/>
      <c r="AA65"/>
      <c r="AB65"/>
    </row>
    <row r="66" spans="1:28" s="10" customFormat="1" x14ac:dyDescent="0.2">
      <c r="C66" s="17" t="s">
        <v>7</v>
      </c>
      <c r="D66" s="44">
        <f>1/D65</f>
        <v>1.8461538461538463</v>
      </c>
      <c r="E66" s="45">
        <f t="shared" ref="E66:P66" si="33">1/E65</f>
        <v>3.5384615384615388</v>
      </c>
      <c r="F66" s="45">
        <f t="shared" si="33"/>
        <v>7.0769230769230775</v>
      </c>
      <c r="G66" s="45">
        <f t="shared" si="33"/>
        <v>14.861538461538462</v>
      </c>
      <c r="H66" s="45">
        <f t="shared" si="33"/>
        <v>33.025641025641022</v>
      </c>
      <c r="I66" s="45">
        <f t="shared" si="33"/>
        <v>78.435897435897445</v>
      </c>
      <c r="J66" s="45">
        <f t="shared" si="33"/>
        <v>201.69230769230771</v>
      </c>
      <c r="K66" s="45">
        <f t="shared" si="33"/>
        <v>571.46153846153845</v>
      </c>
      <c r="L66" s="45">
        <f t="shared" si="33"/>
        <v>1828.6769230769232</v>
      </c>
      <c r="M66" s="45">
        <f t="shared" si="33"/>
        <v>6857.538461538461</v>
      </c>
      <c r="N66" s="45">
        <f t="shared" si="33"/>
        <v>32001.84615384616</v>
      </c>
      <c r="O66" s="45">
        <f t="shared" si="33"/>
        <v>208012.00000000009</v>
      </c>
      <c r="P66" s="45">
        <f t="shared" si="33"/>
        <v>2496144.0000000005</v>
      </c>
      <c r="Q66" s="45"/>
      <c r="R66" s="12"/>
      <c r="S66"/>
      <c r="T66"/>
      <c r="U66"/>
      <c r="V66"/>
      <c r="W66"/>
      <c r="X66"/>
      <c r="Y66"/>
      <c r="Z66"/>
      <c r="AA66"/>
      <c r="AB66"/>
    </row>
    <row r="67" spans="1:28" s="10" customFormat="1" ht="16" thickBot="1" x14ac:dyDescent="0.25">
      <c r="C67" s="20" t="s">
        <v>8</v>
      </c>
      <c r="D67" s="46">
        <f>$F$1*D66</f>
        <v>1.7169230769230772</v>
      </c>
      <c r="E67" s="47">
        <f t="shared" ref="E67:P67" si="34">$F$1*E66</f>
        <v>3.2907692307692313</v>
      </c>
      <c r="F67" s="47">
        <f t="shared" si="34"/>
        <v>6.5815384615384627</v>
      </c>
      <c r="G67" s="47">
        <f t="shared" si="34"/>
        <v>13.82123076923077</v>
      </c>
      <c r="H67" s="47">
        <f t="shared" si="34"/>
        <v>30.713846153846152</v>
      </c>
      <c r="I67" s="47">
        <f t="shared" si="34"/>
        <v>72.945384615384626</v>
      </c>
      <c r="J67" s="47">
        <f t="shared" si="34"/>
        <v>187.57384615384618</v>
      </c>
      <c r="K67" s="47">
        <f t="shared" si="34"/>
        <v>531.45923076923077</v>
      </c>
      <c r="L67" s="47">
        <f t="shared" si="34"/>
        <v>1700.6695384615387</v>
      </c>
      <c r="M67" s="47">
        <f t="shared" si="34"/>
        <v>6377.5107692307693</v>
      </c>
      <c r="N67" s="47">
        <f t="shared" si="34"/>
        <v>29761.716923076929</v>
      </c>
      <c r="O67" s="47">
        <f t="shared" si="34"/>
        <v>193451.16000000009</v>
      </c>
      <c r="P67" s="47">
        <f t="shared" si="34"/>
        <v>2321413.9200000004</v>
      </c>
      <c r="Q67" s="47"/>
      <c r="R67" s="23"/>
      <c r="S67"/>
      <c r="T67"/>
      <c r="U67"/>
      <c r="V67"/>
      <c r="W67"/>
      <c r="X67"/>
      <c r="Y67"/>
      <c r="Z67"/>
      <c r="AA67"/>
      <c r="AB67"/>
    </row>
    <row r="68" spans="1:28" ht="16" thickBot="1" x14ac:dyDescent="0.25"/>
    <row r="69" spans="1:28" s="10" customFormat="1" ht="16" thickBot="1" x14ac:dyDescent="0.25">
      <c r="A69" s="5" t="s">
        <v>19</v>
      </c>
      <c r="B69" s="6" t="s">
        <v>3</v>
      </c>
      <c r="C69" s="7" t="s">
        <v>4</v>
      </c>
      <c r="D69" s="51" t="s">
        <v>5</v>
      </c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3"/>
      <c r="R69"/>
      <c r="S69"/>
      <c r="T69"/>
      <c r="U69"/>
      <c r="V69"/>
      <c r="W69"/>
      <c r="X69"/>
      <c r="Y69"/>
      <c r="Z69"/>
      <c r="AA69"/>
      <c r="AB69"/>
    </row>
    <row r="70" spans="1:28" s="10" customFormat="1" ht="16" thickBot="1" x14ac:dyDescent="0.25">
      <c r="A70" s="11"/>
      <c r="B70" s="7">
        <v>12</v>
      </c>
      <c r="C70" s="12">
        <f>$C$1-B70</f>
        <v>12</v>
      </c>
      <c r="D70" s="6">
        <v>1</v>
      </c>
      <c r="E70" s="8">
        <f>D70+1</f>
        <v>2</v>
      </c>
      <c r="F70" s="8">
        <f t="shared" ref="F70:Q70" si="35">E70+1</f>
        <v>3</v>
      </c>
      <c r="G70" s="8">
        <f t="shared" si="35"/>
        <v>4</v>
      </c>
      <c r="H70" s="8">
        <f t="shared" si="35"/>
        <v>5</v>
      </c>
      <c r="I70" s="8">
        <f t="shared" si="35"/>
        <v>6</v>
      </c>
      <c r="J70" s="8">
        <f t="shared" si="35"/>
        <v>7</v>
      </c>
      <c r="K70" s="8">
        <f t="shared" si="35"/>
        <v>8</v>
      </c>
      <c r="L70" s="8">
        <f t="shared" si="35"/>
        <v>9</v>
      </c>
      <c r="M70" s="8">
        <f t="shared" si="35"/>
        <v>10</v>
      </c>
      <c r="N70" s="8">
        <f t="shared" si="35"/>
        <v>11</v>
      </c>
      <c r="O70" s="8">
        <f t="shared" si="35"/>
        <v>12</v>
      </c>
      <c r="P70" s="8">
        <f t="shared" si="35"/>
        <v>13</v>
      </c>
      <c r="Q70" s="9">
        <f t="shared" si="35"/>
        <v>14</v>
      </c>
      <c r="R70"/>
      <c r="S70"/>
      <c r="T70"/>
      <c r="U70"/>
      <c r="V70"/>
      <c r="W70"/>
      <c r="X70"/>
      <c r="Y70"/>
      <c r="Z70"/>
      <c r="AA70"/>
      <c r="AB70"/>
    </row>
    <row r="71" spans="1:28" s="10" customFormat="1" x14ac:dyDescent="0.2">
      <c r="C71" s="13" t="s">
        <v>6</v>
      </c>
      <c r="D71" s="5">
        <f>COMBIN($C$70,D70)/COMBIN($C$1,D70)</f>
        <v>0.5</v>
      </c>
      <c r="E71" s="36">
        <f>COMBIN($C$70,E70)/COMBIN($C$1,E70)</f>
        <v>0.2391304347826087</v>
      </c>
      <c r="F71" s="36">
        <f>COMBIN($C$70,F70)/COMBIN($C$1,F70)</f>
        <v>0.10869565217391303</v>
      </c>
      <c r="G71" s="36">
        <f>COMBIN($C$70,G70)/COMBIN($C$1,G70)</f>
        <v>4.6583850931677016E-2</v>
      </c>
      <c r="H71" s="36">
        <f>COMBIN($C$70,H70)/COMBIN($C$1,H70)</f>
        <v>1.8633540372670811E-2</v>
      </c>
      <c r="I71" s="36">
        <f>COMBIN($C$70,I70)/COMBIN($C$1,I70)</f>
        <v>6.8649885583523997E-3</v>
      </c>
      <c r="J71" s="36">
        <f>COMBIN($C$70,J70)/COMBIN($C$1,J70)</f>
        <v>2.2883295194508009E-3</v>
      </c>
      <c r="K71" s="36">
        <f>COMBIN($C$70,K70)/COMBIN($C$1,K70)</f>
        <v>6.7303809395611789E-4</v>
      </c>
      <c r="L71" s="36">
        <f>COMBIN($C$70,L70)/COMBIN($C$1,L70)</f>
        <v>1.6825952348902947E-4</v>
      </c>
      <c r="M71" s="36">
        <f>COMBIN($C$70,M70)/COMBIN($C$1,M70)</f>
        <v>3.3651904697805894E-5</v>
      </c>
      <c r="N71" s="36">
        <f>COMBIN($C$70,N70)/COMBIN($C$1,N70)</f>
        <v>4.8074149568294125E-6</v>
      </c>
      <c r="O71" s="36">
        <f>COMBIN($C$70,O70)/COMBIN($C$1,O70)</f>
        <v>3.6980115052533939E-7</v>
      </c>
      <c r="P71" s="36"/>
      <c r="Q71" s="16"/>
      <c r="R71"/>
      <c r="S71"/>
      <c r="T71"/>
      <c r="U71"/>
      <c r="V71"/>
      <c r="W71"/>
      <c r="X71"/>
      <c r="Y71"/>
      <c r="Z71"/>
      <c r="AA71"/>
      <c r="AB71"/>
    </row>
    <row r="72" spans="1:28" s="10" customFormat="1" x14ac:dyDescent="0.2">
      <c r="C72" s="17" t="s">
        <v>7</v>
      </c>
      <c r="D72" s="37">
        <f>1/D71</f>
        <v>2</v>
      </c>
      <c r="E72" s="10">
        <f t="shared" ref="E72:O72" si="36">1/E71</f>
        <v>4.1818181818181817</v>
      </c>
      <c r="F72" s="10">
        <f t="shared" si="36"/>
        <v>9.2000000000000011</v>
      </c>
      <c r="G72" s="10">
        <f t="shared" si="36"/>
        <v>21.466666666666669</v>
      </c>
      <c r="H72" s="10">
        <f t="shared" si="36"/>
        <v>53.666666666666657</v>
      </c>
      <c r="I72" s="10">
        <f t="shared" si="36"/>
        <v>145.66666666666674</v>
      </c>
      <c r="J72" s="10">
        <f t="shared" si="36"/>
        <v>437</v>
      </c>
      <c r="K72" s="10">
        <f t="shared" si="36"/>
        <v>1485.8</v>
      </c>
      <c r="L72" s="10">
        <f t="shared" si="36"/>
        <v>5943.2</v>
      </c>
      <c r="M72" s="10">
        <f t="shared" si="36"/>
        <v>29716</v>
      </c>
      <c r="N72" s="10">
        <f t="shared" si="36"/>
        <v>208012.00000000006</v>
      </c>
      <c r="O72" s="10">
        <f t="shared" si="36"/>
        <v>2704156.0000000009</v>
      </c>
      <c r="Q72" s="12"/>
      <c r="R72"/>
      <c r="S72"/>
      <c r="T72"/>
      <c r="U72"/>
      <c r="V72"/>
      <c r="W72"/>
      <c r="X72"/>
      <c r="Y72"/>
      <c r="Z72"/>
      <c r="AA72"/>
      <c r="AB72"/>
    </row>
    <row r="73" spans="1:28" s="10" customFormat="1" ht="16" thickBot="1" x14ac:dyDescent="0.25">
      <c r="C73" s="20" t="s">
        <v>8</v>
      </c>
      <c r="D73" s="11">
        <f>$F$1*D72</f>
        <v>1.86</v>
      </c>
      <c r="E73" s="38">
        <f t="shared" ref="E73:O73" si="37">$F$1*E72</f>
        <v>3.8890909090909092</v>
      </c>
      <c r="F73" s="38">
        <f t="shared" si="37"/>
        <v>8.5560000000000009</v>
      </c>
      <c r="G73" s="38">
        <f t="shared" si="37"/>
        <v>19.964000000000002</v>
      </c>
      <c r="H73" s="38">
        <f t="shared" si="37"/>
        <v>49.91</v>
      </c>
      <c r="I73" s="38">
        <f t="shared" si="37"/>
        <v>135.47000000000008</v>
      </c>
      <c r="J73" s="38">
        <f t="shared" si="37"/>
        <v>406.41</v>
      </c>
      <c r="K73" s="38">
        <f t="shared" si="37"/>
        <v>1381.7940000000001</v>
      </c>
      <c r="L73" s="38">
        <f t="shared" si="37"/>
        <v>5527.1760000000004</v>
      </c>
      <c r="M73" s="38">
        <f t="shared" si="37"/>
        <v>27635.88</v>
      </c>
      <c r="N73" s="38">
        <f t="shared" si="37"/>
        <v>193451.16000000006</v>
      </c>
      <c r="O73" s="38">
        <f t="shared" si="37"/>
        <v>2514865.080000001</v>
      </c>
      <c r="P73" s="38"/>
      <c r="Q73" s="23"/>
      <c r="R73"/>
      <c r="S73"/>
      <c r="T73"/>
      <c r="U73"/>
      <c r="V73"/>
      <c r="W73"/>
      <c r="X73"/>
      <c r="Y73"/>
      <c r="Z73"/>
      <c r="AA73"/>
      <c r="AB73"/>
    </row>
    <row r="74" spans="1:28" ht="16" thickBot="1" x14ac:dyDescent="0.25"/>
    <row r="75" spans="1:28" s="10" customFormat="1" ht="16" thickBot="1" x14ac:dyDescent="0.25">
      <c r="A75" s="5" t="s">
        <v>20</v>
      </c>
      <c r="B75" s="6" t="s">
        <v>3</v>
      </c>
      <c r="C75" s="7" t="s">
        <v>4</v>
      </c>
      <c r="D75" s="51" t="s">
        <v>5</v>
      </c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3"/>
      <c r="Q75"/>
      <c r="R75"/>
      <c r="S75"/>
      <c r="T75"/>
      <c r="U75"/>
      <c r="V75"/>
      <c r="W75"/>
      <c r="X75"/>
      <c r="Y75"/>
      <c r="Z75"/>
      <c r="AA75"/>
      <c r="AB75"/>
    </row>
    <row r="76" spans="1:28" s="10" customFormat="1" ht="16" thickBot="1" x14ac:dyDescent="0.25">
      <c r="A76" s="11"/>
      <c r="B76" s="7">
        <v>13</v>
      </c>
      <c r="C76" s="12">
        <f>$C$1-B76</f>
        <v>11</v>
      </c>
      <c r="D76" s="6">
        <v>1</v>
      </c>
      <c r="E76" s="8">
        <f>D76+1</f>
        <v>2</v>
      </c>
      <c r="F76" s="8">
        <f t="shared" ref="F76:P76" si="38">E76+1</f>
        <v>3</v>
      </c>
      <c r="G76" s="8">
        <f t="shared" si="38"/>
        <v>4</v>
      </c>
      <c r="H76" s="8">
        <f t="shared" si="38"/>
        <v>5</v>
      </c>
      <c r="I76" s="8">
        <f t="shared" si="38"/>
        <v>6</v>
      </c>
      <c r="J76" s="8">
        <f t="shared" si="38"/>
        <v>7</v>
      </c>
      <c r="K76" s="8">
        <f t="shared" si="38"/>
        <v>8</v>
      </c>
      <c r="L76" s="8">
        <f t="shared" si="38"/>
        <v>9</v>
      </c>
      <c r="M76" s="8">
        <f t="shared" si="38"/>
        <v>10</v>
      </c>
      <c r="N76" s="8">
        <f t="shared" si="38"/>
        <v>11</v>
      </c>
      <c r="O76" s="8">
        <f t="shared" si="38"/>
        <v>12</v>
      </c>
      <c r="P76" s="9">
        <f t="shared" si="38"/>
        <v>13</v>
      </c>
      <c r="Q76"/>
      <c r="R76"/>
      <c r="S76"/>
      <c r="T76"/>
      <c r="U76"/>
      <c r="V76"/>
      <c r="W76"/>
      <c r="X76"/>
      <c r="Y76"/>
      <c r="Z76"/>
      <c r="AA76"/>
      <c r="AB76"/>
    </row>
    <row r="77" spans="1:28" s="10" customFormat="1" x14ac:dyDescent="0.2">
      <c r="C77" s="13" t="s">
        <v>6</v>
      </c>
      <c r="D77" s="5">
        <f>COMBIN($C$76,D76)/COMBIN($C$1,D76)</f>
        <v>0.45833333333333331</v>
      </c>
      <c r="E77" s="36">
        <f>COMBIN($C$76,E76)/COMBIN($C$1,E76)</f>
        <v>0.19927536231884058</v>
      </c>
      <c r="F77" s="36">
        <f>COMBIN($C$76,F76)/COMBIN($C$1,F76)</f>
        <v>8.152173913043477E-2</v>
      </c>
      <c r="G77" s="36">
        <f>COMBIN($C$76,G76)/COMBIN($C$1,G76)</f>
        <v>3.1055900621118012E-2</v>
      </c>
      <c r="H77" s="36">
        <f>COMBIN($C$76,H76)/COMBIN($C$1,H76)</f>
        <v>1.0869565217391304E-2</v>
      </c>
      <c r="I77" s="36">
        <f>COMBIN($C$76,I76)/COMBIN($C$1,I76)</f>
        <v>3.4324942791762003E-3</v>
      </c>
      <c r="J77" s="36">
        <f>COMBIN($C$76,J76)/COMBIN($C$1,J76)</f>
        <v>9.5347063310450035E-4</v>
      </c>
      <c r="K77" s="36">
        <f>COMBIN($C$76,K76)/COMBIN($C$1,K76)</f>
        <v>2.2434603131870598E-4</v>
      </c>
      <c r="L77" s="36">
        <f>COMBIN($C$76,L76)/COMBIN($C$1,L76)</f>
        <v>4.2064880872257368E-5</v>
      </c>
      <c r="M77" s="36">
        <f>COMBIN($C$76,M76)/COMBIN($C$1,M76)</f>
        <v>5.6086507829676493E-6</v>
      </c>
      <c r="N77" s="36">
        <f>COMBIN($C$76,N76)/COMBIN($C$1,N76)</f>
        <v>4.0061791306911773E-7</v>
      </c>
      <c r="O77" s="36"/>
      <c r="P77" s="16"/>
      <c r="Q77"/>
      <c r="R77"/>
      <c r="S77"/>
      <c r="T77"/>
      <c r="U77"/>
      <c r="V77"/>
      <c r="W77"/>
      <c r="X77"/>
      <c r="Y77"/>
      <c r="Z77"/>
      <c r="AA77"/>
      <c r="AB77"/>
    </row>
    <row r="78" spans="1:28" s="10" customFormat="1" x14ac:dyDescent="0.2">
      <c r="C78" s="17" t="s">
        <v>7</v>
      </c>
      <c r="D78" s="37">
        <f>1/D77</f>
        <v>2.1818181818181821</v>
      </c>
      <c r="E78" s="10">
        <f t="shared" ref="E78:N78" si="39">1/E77</f>
        <v>5.0181818181818185</v>
      </c>
      <c r="F78" s="10">
        <f t="shared" si="39"/>
        <v>12.266666666666669</v>
      </c>
      <c r="G78" s="10">
        <f t="shared" si="39"/>
        <v>32.200000000000003</v>
      </c>
      <c r="H78" s="10">
        <f t="shared" si="39"/>
        <v>92</v>
      </c>
      <c r="I78" s="10">
        <f t="shared" si="39"/>
        <v>291.33333333333343</v>
      </c>
      <c r="J78" s="10">
        <f t="shared" si="39"/>
        <v>1048.8</v>
      </c>
      <c r="K78" s="10">
        <f t="shared" si="39"/>
        <v>4457.3999999999996</v>
      </c>
      <c r="L78" s="10">
        <f t="shared" si="39"/>
        <v>23772.799999999999</v>
      </c>
      <c r="M78" s="10">
        <f t="shared" si="39"/>
        <v>178296</v>
      </c>
      <c r="N78" s="10">
        <f t="shared" si="39"/>
        <v>2496144.0000000005</v>
      </c>
      <c r="P78" s="12"/>
      <c r="Q78"/>
      <c r="R78"/>
      <c r="S78"/>
      <c r="T78"/>
      <c r="U78"/>
      <c r="V78"/>
      <c r="W78"/>
      <c r="X78"/>
      <c r="Y78"/>
      <c r="Z78"/>
      <c r="AA78"/>
      <c r="AB78"/>
    </row>
    <row r="79" spans="1:28" s="10" customFormat="1" ht="16" thickBot="1" x14ac:dyDescent="0.25">
      <c r="C79" s="20" t="s">
        <v>8</v>
      </c>
      <c r="D79" s="11">
        <f>$F$1*D78</f>
        <v>2.0290909090909093</v>
      </c>
      <c r="E79" s="38">
        <f t="shared" ref="E79:N79" si="40">$F$1*E78</f>
        <v>4.6669090909090913</v>
      </c>
      <c r="F79" s="38">
        <f t="shared" si="40"/>
        <v>11.408000000000003</v>
      </c>
      <c r="G79" s="38">
        <f t="shared" si="40"/>
        <v>29.946000000000005</v>
      </c>
      <c r="H79" s="38">
        <f t="shared" si="40"/>
        <v>85.56</v>
      </c>
      <c r="I79" s="38">
        <f t="shared" si="40"/>
        <v>270.94000000000011</v>
      </c>
      <c r="J79" s="38">
        <f t="shared" si="40"/>
        <v>975.38400000000001</v>
      </c>
      <c r="K79" s="38">
        <f t="shared" si="40"/>
        <v>4145.3819999999996</v>
      </c>
      <c r="L79" s="38">
        <f t="shared" si="40"/>
        <v>22108.704000000002</v>
      </c>
      <c r="M79" s="38">
        <f t="shared" si="40"/>
        <v>165815.28</v>
      </c>
      <c r="N79" s="38">
        <f t="shared" si="40"/>
        <v>2321413.9200000004</v>
      </c>
      <c r="O79" s="38"/>
      <c r="P79" s="23"/>
      <c r="Q79"/>
      <c r="R79"/>
      <c r="S79"/>
      <c r="T79"/>
      <c r="U79"/>
      <c r="V79"/>
      <c r="W79"/>
      <c r="X79"/>
      <c r="Y79"/>
      <c r="Z79"/>
      <c r="AA79"/>
      <c r="AB79"/>
    </row>
    <row r="80" spans="1:28" ht="16" thickBot="1" x14ac:dyDescent="0.25"/>
    <row r="81" spans="1:28" s="10" customFormat="1" ht="16" thickBot="1" x14ac:dyDescent="0.25">
      <c r="A81" s="5" t="s">
        <v>21</v>
      </c>
      <c r="B81" s="6" t="s">
        <v>3</v>
      </c>
      <c r="C81" s="7" t="s">
        <v>4</v>
      </c>
      <c r="D81" s="51" t="s">
        <v>5</v>
      </c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3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1:28" s="10" customFormat="1" ht="16" thickBot="1" x14ac:dyDescent="0.25">
      <c r="A82" s="11"/>
      <c r="B82" s="7">
        <v>14</v>
      </c>
      <c r="C82" s="12">
        <f>$C$1-B82</f>
        <v>10</v>
      </c>
      <c r="D82" s="6">
        <v>1</v>
      </c>
      <c r="E82" s="8">
        <f>D82+1</f>
        <v>2</v>
      </c>
      <c r="F82" s="8">
        <f t="shared" ref="F82:O82" si="41">E82+1</f>
        <v>3</v>
      </c>
      <c r="G82" s="8">
        <f t="shared" si="41"/>
        <v>4</v>
      </c>
      <c r="H82" s="8">
        <f t="shared" si="41"/>
        <v>5</v>
      </c>
      <c r="I82" s="8">
        <f t="shared" si="41"/>
        <v>6</v>
      </c>
      <c r="J82" s="8">
        <f t="shared" si="41"/>
        <v>7</v>
      </c>
      <c r="K82" s="8">
        <f t="shared" si="41"/>
        <v>8</v>
      </c>
      <c r="L82" s="8">
        <f t="shared" si="41"/>
        <v>9</v>
      </c>
      <c r="M82" s="8">
        <f t="shared" si="41"/>
        <v>10</v>
      </c>
      <c r="N82" s="8">
        <f t="shared" si="41"/>
        <v>11</v>
      </c>
      <c r="O82" s="9">
        <f t="shared" si="41"/>
        <v>12</v>
      </c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1:28" s="10" customFormat="1" x14ac:dyDescent="0.2">
      <c r="C83" s="13" t="s">
        <v>6</v>
      </c>
      <c r="D83" s="5">
        <f>COMBIN($C$82,D82)/COMBIN($C$1,D82)</f>
        <v>0.41666666666666669</v>
      </c>
      <c r="E83" s="36">
        <f>COMBIN($C$82,E82)/COMBIN($C$1,E82)</f>
        <v>0.16304347826086957</v>
      </c>
      <c r="F83" s="36">
        <f>COMBIN($C$82,F82)/COMBIN($C$1,F82)</f>
        <v>5.9288537549407105E-2</v>
      </c>
      <c r="G83" s="36">
        <f>COMBIN($C$82,G82)/COMBIN($C$1,G82)</f>
        <v>1.9762845849802368E-2</v>
      </c>
      <c r="H83" s="36">
        <f>COMBIN($C$82,H82)/COMBIN($C$1,H82)</f>
        <v>5.9288537549407128E-3</v>
      </c>
      <c r="I83" s="36">
        <f>COMBIN($C$82,I82)/COMBIN($C$1,I82)</f>
        <v>1.5602246723528182E-3</v>
      </c>
      <c r="J83" s="36">
        <f>COMBIN($C$82,J82)/COMBIN($C$1,J82)</f>
        <v>3.4671659385618195E-4</v>
      </c>
      <c r="K83" s="36">
        <f>COMBIN($C$82,K82)/COMBIN($C$1,K82)</f>
        <v>6.1185281268737987E-5</v>
      </c>
      <c r="L83" s="36">
        <f>COMBIN($C$82,L82)/COMBIN($C$1,L82)</f>
        <v>7.6481601585922484E-6</v>
      </c>
      <c r="M83" s="36">
        <f>COMBIN($C$82,M82)/COMBIN($C$1,M82)</f>
        <v>5.0987734390614998E-7</v>
      </c>
      <c r="N83" s="36"/>
      <c r="O83" s="16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1:28" s="10" customFormat="1" x14ac:dyDescent="0.2">
      <c r="C84" s="17" t="s">
        <v>7</v>
      </c>
      <c r="D84" s="37">
        <f>1/D83</f>
        <v>2.4</v>
      </c>
      <c r="E84" s="10">
        <f t="shared" ref="E84:M84" si="42">1/E83</f>
        <v>6.1333333333333329</v>
      </c>
      <c r="F84" s="10">
        <f t="shared" si="42"/>
        <v>16.866666666666671</v>
      </c>
      <c r="G84" s="10">
        <f t="shared" si="42"/>
        <v>50.600000000000009</v>
      </c>
      <c r="H84" s="10">
        <f t="shared" si="42"/>
        <v>168.66666666666663</v>
      </c>
      <c r="I84" s="10">
        <f t="shared" si="42"/>
        <v>640.93333333333362</v>
      </c>
      <c r="J84" s="10">
        <f t="shared" si="42"/>
        <v>2884.2</v>
      </c>
      <c r="K84" s="10">
        <f t="shared" si="42"/>
        <v>16343.800000000001</v>
      </c>
      <c r="L84" s="10">
        <f t="shared" si="42"/>
        <v>130750.40000000001</v>
      </c>
      <c r="M84" s="10">
        <f t="shared" si="42"/>
        <v>1961255.9999999998</v>
      </c>
      <c r="O84" s="12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1:28" s="10" customFormat="1" ht="16" thickBot="1" x14ac:dyDescent="0.25">
      <c r="C85" s="20" t="s">
        <v>8</v>
      </c>
      <c r="D85" s="11">
        <f>$F$1*D84</f>
        <v>2.2320000000000002</v>
      </c>
      <c r="E85" s="38">
        <f t="shared" ref="E85:M85" si="43">$F$1*E84</f>
        <v>5.7039999999999997</v>
      </c>
      <c r="F85" s="38">
        <f t="shared" si="43"/>
        <v>15.686000000000005</v>
      </c>
      <c r="G85" s="38">
        <f t="shared" si="43"/>
        <v>47.058000000000007</v>
      </c>
      <c r="H85" s="38">
        <f t="shared" si="43"/>
        <v>156.85999999999999</v>
      </c>
      <c r="I85" s="38">
        <f t="shared" si="43"/>
        <v>596.06800000000032</v>
      </c>
      <c r="J85" s="38">
        <f t="shared" si="43"/>
        <v>2682.306</v>
      </c>
      <c r="K85" s="38">
        <f t="shared" si="43"/>
        <v>15199.734000000002</v>
      </c>
      <c r="L85" s="38">
        <f t="shared" si="43"/>
        <v>121597.87200000002</v>
      </c>
      <c r="M85" s="38">
        <f t="shared" si="43"/>
        <v>1823968.0799999998</v>
      </c>
      <c r="N85" s="38"/>
      <c r="O85" s="23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1:28" ht="16" thickBot="1" x14ac:dyDescent="0.25"/>
    <row r="87" spans="1:28" s="10" customFormat="1" ht="16" thickBot="1" x14ac:dyDescent="0.25">
      <c r="A87" s="5" t="s">
        <v>22</v>
      </c>
      <c r="B87" s="6" t="s">
        <v>3</v>
      </c>
      <c r="C87" s="7" t="s">
        <v>4</v>
      </c>
      <c r="D87" s="51" t="s">
        <v>5</v>
      </c>
      <c r="E87" s="52"/>
      <c r="F87" s="52"/>
      <c r="G87" s="52"/>
      <c r="H87" s="52"/>
      <c r="I87" s="52"/>
      <c r="J87" s="52"/>
      <c r="K87" s="52"/>
      <c r="L87" s="52"/>
      <c r="M87" s="52"/>
      <c r="N87" s="53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1:28" s="10" customFormat="1" ht="16" thickBot="1" x14ac:dyDescent="0.25">
      <c r="A88" s="11"/>
      <c r="B88" s="7">
        <v>15</v>
      </c>
      <c r="C88" s="12">
        <f>$C$1-B88</f>
        <v>9</v>
      </c>
      <c r="D88" s="6">
        <v>1</v>
      </c>
      <c r="E88" s="8">
        <f>D88+1</f>
        <v>2</v>
      </c>
      <c r="F88" s="8">
        <f t="shared" ref="F88:N88" si="44">E88+1</f>
        <v>3</v>
      </c>
      <c r="G88" s="8">
        <f t="shared" si="44"/>
        <v>4</v>
      </c>
      <c r="H88" s="8">
        <f t="shared" si="44"/>
        <v>5</v>
      </c>
      <c r="I88" s="8">
        <f t="shared" si="44"/>
        <v>6</v>
      </c>
      <c r="J88" s="8">
        <f t="shared" si="44"/>
        <v>7</v>
      </c>
      <c r="K88" s="8">
        <f t="shared" si="44"/>
        <v>8</v>
      </c>
      <c r="L88" s="8">
        <f t="shared" si="44"/>
        <v>9</v>
      </c>
      <c r="M88" s="8">
        <f t="shared" si="44"/>
        <v>10</v>
      </c>
      <c r="N88" s="9">
        <f t="shared" si="44"/>
        <v>11</v>
      </c>
      <c r="O88"/>
      <c r="P88"/>
      <c r="Q88"/>
      <c r="R88"/>
      <c r="S88"/>
      <c r="T88"/>
      <c r="U88"/>
      <c r="V88"/>
      <c r="W88"/>
      <c r="X88"/>
      <c r="Y88"/>
      <c r="Z88"/>
      <c r="AA88"/>
      <c r="AB88"/>
    </row>
    <row r="89" spans="1:28" s="10" customFormat="1" x14ac:dyDescent="0.2">
      <c r="C89" s="13" t="s">
        <v>6</v>
      </c>
      <c r="D89" s="5">
        <f>COMBIN($C$88,D88)/COMBIN($C$1,D88)</f>
        <v>0.375</v>
      </c>
      <c r="E89" s="36">
        <f>COMBIN($C$88,E88)/COMBIN($C$1,E88)</f>
        <v>0.13043478260869565</v>
      </c>
      <c r="F89" s="36">
        <f>COMBIN($C$88,F88)/COMBIN($C$1,F88)</f>
        <v>4.150197628458497E-2</v>
      </c>
      <c r="G89" s="36">
        <f>COMBIN($C$88,G88)/COMBIN($C$1,G88)</f>
        <v>1.1857707509881422E-2</v>
      </c>
      <c r="H89" s="36">
        <f>COMBIN($C$88,H88)/COMBIN($C$1,H88)</f>
        <v>2.9644268774703564E-3</v>
      </c>
      <c r="I89" s="36">
        <f>COMBIN($C$88,I88)/COMBIN($C$1,I88)</f>
        <v>6.2408986894112726E-4</v>
      </c>
      <c r="J89" s="36">
        <f>COMBIN($C$88,J88)/COMBIN($C$1,J88)</f>
        <v>1.0401497815685458E-4</v>
      </c>
      <c r="K89" s="36">
        <f>COMBIN($C$88,K88)/COMBIN($C$1,K88)</f>
        <v>1.2237056253747598E-5</v>
      </c>
      <c r="L89" s="36">
        <f>COMBIN($C$88,L88)/COMBIN($C$1,L88)</f>
        <v>7.6481601585922486E-7</v>
      </c>
      <c r="M89" s="36"/>
      <c r="N89" s="16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1:28" s="10" customFormat="1" x14ac:dyDescent="0.2">
      <c r="C90" s="17" t="s">
        <v>7</v>
      </c>
      <c r="D90" s="37">
        <f>1/D89</f>
        <v>2.6666666666666665</v>
      </c>
      <c r="E90" s="10">
        <f t="shared" ref="E90:L90" si="45">1/E89</f>
        <v>7.666666666666667</v>
      </c>
      <c r="F90" s="10">
        <f t="shared" si="45"/>
        <v>24.095238095238102</v>
      </c>
      <c r="G90" s="10">
        <f t="shared" si="45"/>
        <v>84.333333333333343</v>
      </c>
      <c r="H90" s="10">
        <f t="shared" si="45"/>
        <v>337.33333333333326</v>
      </c>
      <c r="I90" s="10">
        <f t="shared" si="45"/>
        <v>1602.3333333333339</v>
      </c>
      <c r="J90" s="10">
        <f t="shared" si="45"/>
        <v>9614</v>
      </c>
      <c r="K90" s="10">
        <f t="shared" si="45"/>
        <v>81719</v>
      </c>
      <c r="L90" s="10">
        <f t="shared" si="45"/>
        <v>1307504</v>
      </c>
      <c r="N90" s="12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1:28" s="10" customFormat="1" ht="16" thickBot="1" x14ac:dyDescent="0.25">
      <c r="C91" s="20" t="s">
        <v>8</v>
      </c>
      <c r="D91" s="11">
        <f>$F$1*D90</f>
        <v>2.48</v>
      </c>
      <c r="E91" s="38">
        <f t="shared" ref="E91:L91" si="46">$F$1*E90</f>
        <v>7.1300000000000008</v>
      </c>
      <c r="F91" s="38">
        <f t="shared" si="46"/>
        <v>22.408571428571435</v>
      </c>
      <c r="G91" s="38">
        <f t="shared" si="46"/>
        <v>78.430000000000007</v>
      </c>
      <c r="H91" s="38">
        <f t="shared" si="46"/>
        <v>313.71999999999997</v>
      </c>
      <c r="I91" s="38">
        <f t="shared" si="46"/>
        <v>1490.1700000000008</v>
      </c>
      <c r="J91" s="38">
        <f t="shared" si="46"/>
        <v>8941.02</v>
      </c>
      <c r="K91" s="38">
        <f t="shared" si="46"/>
        <v>75998.67</v>
      </c>
      <c r="L91" s="38">
        <f t="shared" si="46"/>
        <v>1215978.72</v>
      </c>
      <c r="M91" s="38"/>
      <c r="N91" s="23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1:28" ht="16" thickBot="1" x14ac:dyDescent="0.25"/>
    <row r="93" spans="1:28" s="10" customFormat="1" ht="16" thickBot="1" x14ac:dyDescent="0.25">
      <c r="A93" s="5" t="s">
        <v>23</v>
      </c>
      <c r="B93" s="6" t="s">
        <v>3</v>
      </c>
      <c r="C93" s="7" t="s">
        <v>4</v>
      </c>
      <c r="D93" s="51" t="s">
        <v>5</v>
      </c>
      <c r="E93" s="52"/>
      <c r="F93" s="52"/>
      <c r="G93" s="52"/>
      <c r="H93" s="52"/>
      <c r="I93" s="52"/>
      <c r="J93" s="52"/>
      <c r="K93" s="52"/>
      <c r="L93" s="52"/>
      <c r="M93" s="5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1:28" s="10" customFormat="1" ht="16" thickBot="1" x14ac:dyDescent="0.25">
      <c r="A94" s="11"/>
      <c r="B94" s="7">
        <v>16</v>
      </c>
      <c r="C94" s="12">
        <f>$C$1-B94</f>
        <v>8</v>
      </c>
      <c r="D94" s="6">
        <v>1</v>
      </c>
      <c r="E94" s="8">
        <f>D94+1</f>
        <v>2</v>
      </c>
      <c r="F94" s="8">
        <f t="shared" ref="F94:M94" si="47">E94+1</f>
        <v>3</v>
      </c>
      <c r="G94" s="8">
        <f t="shared" si="47"/>
        <v>4</v>
      </c>
      <c r="H94" s="8">
        <f t="shared" si="47"/>
        <v>5</v>
      </c>
      <c r="I94" s="8">
        <f t="shared" si="47"/>
        <v>6</v>
      </c>
      <c r="J94" s="8">
        <f t="shared" si="47"/>
        <v>7</v>
      </c>
      <c r="K94" s="8">
        <f t="shared" si="47"/>
        <v>8</v>
      </c>
      <c r="L94" s="8">
        <f t="shared" si="47"/>
        <v>9</v>
      </c>
      <c r="M94" s="9">
        <f t="shared" si="47"/>
        <v>10</v>
      </c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1:28" s="10" customFormat="1" x14ac:dyDescent="0.2">
      <c r="C95" s="13" t="s">
        <v>6</v>
      </c>
      <c r="D95" s="5">
        <f>COMBIN($C$94,D94)/COMBIN($C$1,D94)</f>
        <v>0.33333333333333331</v>
      </c>
      <c r="E95" s="36">
        <f>COMBIN($C$94,E94)/COMBIN($C$1,E94)</f>
        <v>0.10144927536231885</v>
      </c>
      <c r="F95" s="36">
        <f>COMBIN($C$94,F94)/COMBIN($C$1,F94)</f>
        <v>2.7667984189723317E-2</v>
      </c>
      <c r="G95" s="36">
        <f>COMBIN($C$94,G94)/COMBIN($C$1,G94)</f>
        <v>6.587615283267457E-3</v>
      </c>
      <c r="H95" s="36">
        <f>COMBIN($C$94,H94)/COMBIN($C$1,H94)</f>
        <v>1.3175230566534917E-3</v>
      </c>
      <c r="I95" s="36">
        <f>COMBIN($C$94,I94)/COMBIN($C$1,I94)</f>
        <v>2.0802995631370914E-4</v>
      </c>
      <c r="J95" s="36">
        <f>COMBIN($C$94,J94)/COMBIN($C$1,J94)</f>
        <v>2.3114439590412129E-5</v>
      </c>
      <c r="K95" s="36">
        <f>COMBIN($C$94,K94)/COMBIN($C$1,K94)</f>
        <v>1.3596729170830664E-6</v>
      </c>
      <c r="L95" s="36"/>
      <c r="M95" s="16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1:28" s="10" customFormat="1" x14ac:dyDescent="0.2">
      <c r="C96" s="17" t="s">
        <v>7</v>
      </c>
      <c r="D96" s="35">
        <f>1/D95</f>
        <v>3</v>
      </c>
      <c r="E96" s="48">
        <f t="shared" ref="E96:K96" si="48">1/E95</f>
        <v>9.8571428571428559</v>
      </c>
      <c r="F96" s="48">
        <f t="shared" si="48"/>
        <v>36.142857142857146</v>
      </c>
      <c r="G96" s="48">
        <f t="shared" si="48"/>
        <v>151.80000000000001</v>
      </c>
      <c r="H96" s="48">
        <f t="shared" si="48"/>
        <v>758.99999999999989</v>
      </c>
      <c r="I96" s="48">
        <f t="shared" si="48"/>
        <v>4807.0000000000009</v>
      </c>
      <c r="J96" s="48">
        <f t="shared" si="48"/>
        <v>43263</v>
      </c>
      <c r="K96" s="48">
        <f t="shared" si="48"/>
        <v>735471</v>
      </c>
      <c r="L96" s="48"/>
      <c r="M96" s="12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1:28" s="10" customFormat="1" ht="16" thickBot="1" x14ac:dyDescent="0.25">
      <c r="C97" s="20" t="s">
        <v>8</v>
      </c>
      <c r="D97" s="11">
        <f>$F$1*D96</f>
        <v>2.79</v>
      </c>
      <c r="E97" s="38">
        <f t="shared" ref="E97:K97" si="49">$F$1*E96</f>
        <v>9.1671428571428564</v>
      </c>
      <c r="F97" s="38">
        <f t="shared" si="49"/>
        <v>33.612857142857145</v>
      </c>
      <c r="G97" s="38">
        <f t="shared" si="49"/>
        <v>141.17400000000001</v>
      </c>
      <c r="H97" s="38">
        <f t="shared" si="49"/>
        <v>705.86999999999989</v>
      </c>
      <c r="I97" s="38">
        <f t="shared" si="49"/>
        <v>4470.5100000000011</v>
      </c>
      <c r="J97" s="38">
        <f t="shared" si="49"/>
        <v>40234.590000000004</v>
      </c>
      <c r="K97" s="38">
        <f t="shared" si="49"/>
        <v>683988.03</v>
      </c>
      <c r="L97" s="38"/>
      <c r="M97" s="23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1:28" ht="16" thickBot="1" x14ac:dyDescent="0.25"/>
    <row r="99" spans="1:28" s="10" customFormat="1" ht="16" thickBot="1" x14ac:dyDescent="0.25">
      <c r="A99" s="5" t="s">
        <v>24</v>
      </c>
      <c r="B99" s="6" t="s">
        <v>3</v>
      </c>
      <c r="C99" s="7" t="s">
        <v>4</v>
      </c>
      <c r="D99" s="51" t="s">
        <v>5</v>
      </c>
      <c r="E99" s="52"/>
      <c r="F99" s="52"/>
      <c r="G99" s="52"/>
      <c r="H99" s="52"/>
      <c r="I99" s="52"/>
      <c r="J99" s="52"/>
      <c r="K99" s="52"/>
      <c r="L99" s="53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1:28" s="10" customFormat="1" ht="16" thickBot="1" x14ac:dyDescent="0.25">
      <c r="A100" s="11"/>
      <c r="B100" s="7">
        <v>17</v>
      </c>
      <c r="C100" s="12">
        <f>$C$1-B100</f>
        <v>7</v>
      </c>
      <c r="D100" s="6">
        <v>1</v>
      </c>
      <c r="E100" s="8">
        <f>D100+1</f>
        <v>2</v>
      </c>
      <c r="F100" s="8">
        <f t="shared" ref="F100:L100" si="50">E100+1</f>
        <v>3</v>
      </c>
      <c r="G100" s="8">
        <f t="shared" si="50"/>
        <v>4</v>
      </c>
      <c r="H100" s="8">
        <f t="shared" si="50"/>
        <v>5</v>
      </c>
      <c r="I100" s="8">
        <f t="shared" si="50"/>
        <v>6</v>
      </c>
      <c r="J100" s="8">
        <f t="shared" si="50"/>
        <v>7</v>
      </c>
      <c r="K100" s="8">
        <f t="shared" si="50"/>
        <v>8</v>
      </c>
      <c r="L100" s="9">
        <f t="shared" si="50"/>
        <v>9</v>
      </c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1:28" s="10" customFormat="1" x14ac:dyDescent="0.2">
      <c r="C101" s="13" t="s">
        <v>6</v>
      </c>
      <c r="D101" s="5">
        <f>COMBIN($C$100,D100)/COMBIN($C$1,D100)</f>
        <v>0.29166666666666669</v>
      </c>
      <c r="E101" s="36">
        <f>COMBIN($C$100,E100)/COMBIN($C$1,E100)</f>
        <v>7.6086956521739135E-2</v>
      </c>
      <c r="F101" s="36">
        <f>COMBIN($C$100,F100)/COMBIN($C$1,F100)</f>
        <v>1.7292490118577072E-2</v>
      </c>
      <c r="G101" s="36">
        <f>COMBIN($C$100,G100)/COMBIN($C$1,G100)</f>
        <v>3.2938076416337285E-3</v>
      </c>
      <c r="H101" s="36">
        <f>COMBIN($C$100,H100)/COMBIN($C$1,H100)</f>
        <v>4.9407114624505936E-4</v>
      </c>
      <c r="I101" s="36">
        <f>COMBIN($C$100,I100)/COMBIN($C$1,I100)</f>
        <v>5.2007489078427285E-5</v>
      </c>
      <c r="J101" s="36">
        <f>COMBIN($C$100,J100)/COMBIN($C$1,J100)</f>
        <v>2.8893049488015161E-6</v>
      </c>
      <c r="K101" s="36"/>
      <c r="L101" s="16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1:28" s="10" customFormat="1" x14ac:dyDescent="0.2">
      <c r="C102" s="17" t="s">
        <v>7</v>
      </c>
      <c r="D102" s="37">
        <f>1/D101</f>
        <v>3.4285714285714284</v>
      </c>
      <c r="E102" s="10">
        <f t="shared" ref="E102:J102" si="51">1/E101</f>
        <v>13.142857142857142</v>
      </c>
      <c r="F102" s="10">
        <f t="shared" si="51"/>
        <v>57.828571428571436</v>
      </c>
      <c r="G102" s="10">
        <f t="shared" si="51"/>
        <v>303.60000000000002</v>
      </c>
      <c r="H102" s="10">
        <f t="shared" si="51"/>
        <v>2023.9999999999998</v>
      </c>
      <c r="I102" s="10">
        <f t="shared" si="51"/>
        <v>19228.000000000004</v>
      </c>
      <c r="J102" s="10">
        <f t="shared" si="51"/>
        <v>346104</v>
      </c>
      <c r="L102" s="1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1:28" s="10" customFormat="1" ht="16" thickBot="1" x14ac:dyDescent="0.25">
      <c r="C103" s="20" t="s">
        <v>8</v>
      </c>
      <c r="D103" s="11">
        <f>$F$1*D102</f>
        <v>3.1885714285714286</v>
      </c>
      <c r="E103" s="38">
        <f t="shared" ref="E103:J103" si="52">$F$1*E102</f>
        <v>12.222857142857142</v>
      </c>
      <c r="F103" s="38">
        <f t="shared" si="52"/>
        <v>53.780571428571442</v>
      </c>
      <c r="G103" s="38">
        <f t="shared" si="52"/>
        <v>282.34800000000001</v>
      </c>
      <c r="H103" s="38">
        <f t="shared" si="52"/>
        <v>1882.32</v>
      </c>
      <c r="I103" s="38">
        <f t="shared" si="52"/>
        <v>17882.040000000005</v>
      </c>
      <c r="J103" s="38">
        <f t="shared" si="52"/>
        <v>321876.72000000003</v>
      </c>
      <c r="K103" s="38"/>
      <c r="L103" s="2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1:28" ht="16" thickBot="1" x14ac:dyDescent="0.25"/>
    <row r="105" spans="1:28" s="10" customFormat="1" ht="16" thickBot="1" x14ac:dyDescent="0.25">
      <c r="A105" s="5" t="s">
        <v>25</v>
      </c>
      <c r="B105" s="6" t="s">
        <v>3</v>
      </c>
      <c r="C105" s="7" t="s">
        <v>4</v>
      </c>
      <c r="D105" s="51" t="s">
        <v>5</v>
      </c>
      <c r="E105" s="52"/>
      <c r="F105" s="52"/>
      <c r="G105" s="52"/>
      <c r="H105" s="52"/>
      <c r="I105" s="52"/>
      <c r="J105" s="52"/>
      <c r="K105" s="53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1:28" s="10" customFormat="1" ht="16" thickBot="1" x14ac:dyDescent="0.25">
      <c r="A106" s="11"/>
      <c r="B106" s="7">
        <v>18</v>
      </c>
      <c r="C106" s="12">
        <f>$C$1-B106</f>
        <v>6</v>
      </c>
      <c r="D106" s="6">
        <v>1</v>
      </c>
      <c r="E106" s="8">
        <f>D106+1</f>
        <v>2</v>
      </c>
      <c r="F106" s="8">
        <f t="shared" ref="F106:K106" si="53">E106+1</f>
        <v>3</v>
      </c>
      <c r="G106" s="8">
        <f t="shared" si="53"/>
        <v>4</v>
      </c>
      <c r="H106" s="8">
        <f t="shared" si="53"/>
        <v>5</v>
      </c>
      <c r="I106" s="8">
        <f t="shared" si="53"/>
        <v>6</v>
      </c>
      <c r="J106" s="8">
        <f t="shared" si="53"/>
        <v>7</v>
      </c>
      <c r="K106" s="9">
        <f t="shared" si="53"/>
        <v>8</v>
      </c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1:28" s="10" customFormat="1" x14ac:dyDescent="0.2">
      <c r="C107" s="13" t="s">
        <v>6</v>
      </c>
      <c r="D107" s="5">
        <f>COMBIN($C$106,D106)/COMBIN($C$1,D106)</f>
        <v>0.25</v>
      </c>
      <c r="E107" s="36">
        <f>COMBIN($C$106,E106)/COMBIN($C$1,E106)</f>
        <v>5.434782608695652E-2</v>
      </c>
      <c r="F107" s="34">
        <f>COMBIN($C$106,F106)/COMBIN($C$1,F106)</f>
        <v>9.8814229249011842E-3</v>
      </c>
      <c r="G107" s="34">
        <f>COMBIN($C$106,G106)/COMBIN($C$1,G106)</f>
        <v>1.411631846414455E-3</v>
      </c>
      <c r="H107" s="34">
        <f>COMBIN($C$106,H106)/COMBIN($C$1,H106)</f>
        <v>1.4116318464144553E-4</v>
      </c>
      <c r="I107" s="36">
        <f>COMBIN($C$106,I106)/COMBIN($C$1,I106)</f>
        <v>7.4296412969181836E-6</v>
      </c>
      <c r="J107" s="36"/>
      <c r="K107" s="16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1:28" s="10" customFormat="1" x14ac:dyDescent="0.2">
      <c r="C108" s="17" t="s">
        <v>7</v>
      </c>
      <c r="D108" s="40">
        <f>1/D107</f>
        <v>4</v>
      </c>
      <c r="E108" s="41">
        <f t="shared" ref="E108:I108" si="54">1/E107</f>
        <v>18.400000000000002</v>
      </c>
      <c r="F108" s="41">
        <f t="shared" si="54"/>
        <v>101.20000000000002</v>
      </c>
      <c r="G108" s="41">
        <f t="shared" si="54"/>
        <v>708.40000000000009</v>
      </c>
      <c r="H108" s="41">
        <f t="shared" si="54"/>
        <v>7083.9999999999991</v>
      </c>
      <c r="I108" s="49">
        <f t="shared" si="54"/>
        <v>134596.00000000003</v>
      </c>
      <c r="J108" s="49"/>
      <c r="K108" s="12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1:28" s="10" customFormat="1" ht="16" thickBot="1" x14ac:dyDescent="0.25">
      <c r="C109" s="20" t="s">
        <v>8</v>
      </c>
      <c r="D109" s="30">
        <f>$F$1*D108</f>
        <v>3.72</v>
      </c>
      <c r="E109" s="31">
        <f t="shared" ref="E109:I109" si="55">$F$1*E108</f>
        <v>17.112000000000002</v>
      </c>
      <c r="F109" s="31">
        <f t="shared" si="55"/>
        <v>94.116000000000014</v>
      </c>
      <c r="G109" s="31">
        <f t="shared" si="55"/>
        <v>658.81200000000013</v>
      </c>
      <c r="H109" s="31">
        <f t="shared" si="55"/>
        <v>6588.12</v>
      </c>
      <c r="I109" s="50">
        <f t="shared" si="55"/>
        <v>125174.28000000003</v>
      </c>
      <c r="J109" s="50"/>
      <c r="K109" s="23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1:28" ht="16" thickBot="1" x14ac:dyDescent="0.25"/>
    <row r="111" spans="1:28" s="10" customFormat="1" ht="16" thickBot="1" x14ac:dyDescent="0.25">
      <c r="A111" s="5" t="s">
        <v>26</v>
      </c>
      <c r="B111" s="6" t="s">
        <v>3</v>
      </c>
      <c r="C111" s="7" t="s">
        <v>4</v>
      </c>
      <c r="D111" s="51" t="s">
        <v>5</v>
      </c>
      <c r="E111" s="52"/>
      <c r="F111" s="52"/>
      <c r="G111" s="52"/>
      <c r="H111" s="52"/>
      <c r="I111" s="52"/>
      <c r="J111" s="53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1:28" s="10" customFormat="1" ht="16" thickBot="1" x14ac:dyDescent="0.25">
      <c r="A112" s="11"/>
      <c r="B112" s="7">
        <v>19</v>
      </c>
      <c r="C112" s="12">
        <f>$C$1-B112</f>
        <v>5</v>
      </c>
      <c r="D112" s="6">
        <v>1</v>
      </c>
      <c r="E112" s="8">
        <f>D112+1</f>
        <v>2</v>
      </c>
      <c r="F112" s="8">
        <f t="shared" ref="F112:J112" si="56">E112+1</f>
        <v>3</v>
      </c>
      <c r="G112" s="8">
        <f t="shared" si="56"/>
        <v>4</v>
      </c>
      <c r="H112" s="8">
        <f t="shared" si="56"/>
        <v>5</v>
      </c>
      <c r="I112" s="8">
        <f t="shared" si="56"/>
        <v>6</v>
      </c>
      <c r="J112" s="9">
        <f t="shared" si="56"/>
        <v>7</v>
      </c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pans="1:28" s="10" customFormat="1" x14ac:dyDescent="0.2">
      <c r="C113" s="13" t="s">
        <v>6</v>
      </c>
      <c r="D113" s="5">
        <f>COMBIN($C$112,D112)/COMBIN($C$1,D112)</f>
        <v>0.20833333333333334</v>
      </c>
      <c r="E113" s="36">
        <f>COMBIN($C$112,E112)/COMBIN($C$1,E112)</f>
        <v>3.6231884057971016E-2</v>
      </c>
      <c r="F113" s="34">
        <f>COMBIN($C$112,F112)/COMBIN($C$1,F112)</f>
        <v>4.9407114624505921E-3</v>
      </c>
      <c r="G113" s="34">
        <f>COMBIN($C$112,G112)/COMBIN($C$1,G112)</f>
        <v>4.7054394880481837E-4</v>
      </c>
      <c r="H113" s="34">
        <f>COMBIN($C$112,H112)/COMBIN($C$1,H112)</f>
        <v>2.3527197440240921E-5</v>
      </c>
      <c r="I113" s="36"/>
      <c r="J113" s="16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pans="1:28" s="10" customFormat="1" x14ac:dyDescent="0.2">
      <c r="C114" s="17" t="s">
        <v>7</v>
      </c>
      <c r="D114" s="18">
        <f>1/D113</f>
        <v>4.8</v>
      </c>
      <c r="E114" s="49">
        <f t="shared" ref="E114:H114" si="57">1/E113</f>
        <v>27.599999999999998</v>
      </c>
      <c r="F114" s="10">
        <f t="shared" si="57"/>
        <v>202.40000000000003</v>
      </c>
      <c r="G114" s="10">
        <f t="shared" si="57"/>
        <v>2125.1999999999998</v>
      </c>
      <c r="H114" s="10">
        <f t="shared" si="57"/>
        <v>42503.999999999993</v>
      </c>
      <c r="J114" s="12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pans="1:28" s="10" customFormat="1" ht="16" thickBot="1" x14ac:dyDescent="0.25">
      <c r="C115" s="20" t="s">
        <v>8</v>
      </c>
      <c r="D115" s="11">
        <f>$F$1*D114</f>
        <v>4.4640000000000004</v>
      </c>
      <c r="E115" s="38">
        <f t="shared" ref="E115:H115" si="58">$F$1*E114</f>
        <v>25.667999999999999</v>
      </c>
      <c r="F115" s="38">
        <f t="shared" si="58"/>
        <v>188.23200000000003</v>
      </c>
      <c r="G115" s="38">
        <f t="shared" si="58"/>
        <v>1976.4359999999999</v>
      </c>
      <c r="H115" s="38">
        <f t="shared" si="58"/>
        <v>39528.719999999994</v>
      </c>
      <c r="I115" s="38"/>
      <c r="J115" s="23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1:28" ht="16" thickBot="1" x14ac:dyDescent="0.25"/>
    <row r="117" spans="1:28" s="10" customFormat="1" ht="16" thickBot="1" x14ac:dyDescent="0.25">
      <c r="A117" s="5" t="s">
        <v>27</v>
      </c>
      <c r="B117" s="6" t="s">
        <v>3</v>
      </c>
      <c r="C117" s="7" t="s">
        <v>4</v>
      </c>
      <c r="D117" s="51" t="s">
        <v>5</v>
      </c>
      <c r="E117" s="52"/>
      <c r="F117" s="52"/>
      <c r="G117" s="52"/>
      <c r="H117" s="52"/>
      <c r="I117" s="53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1:28" s="10" customFormat="1" ht="16" thickBot="1" x14ac:dyDescent="0.25">
      <c r="A118" s="11"/>
      <c r="B118" s="7">
        <v>20</v>
      </c>
      <c r="C118" s="12">
        <f>$C$1-B118</f>
        <v>4</v>
      </c>
      <c r="D118" s="6">
        <v>1</v>
      </c>
      <c r="E118" s="8">
        <f>D118+1</f>
        <v>2</v>
      </c>
      <c r="F118" s="8">
        <f t="shared" ref="F118:I118" si="59">E118+1</f>
        <v>3</v>
      </c>
      <c r="G118" s="8">
        <f t="shared" si="59"/>
        <v>4</v>
      </c>
      <c r="H118" s="8">
        <f t="shared" si="59"/>
        <v>5</v>
      </c>
      <c r="I118" s="9">
        <f t="shared" si="59"/>
        <v>6</v>
      </c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pans="1:28" s="10" customFormat="1" x14ac:dyDescent="0.2">
      <c r="C119" s="13" t="s">
        <v>6</v>
      </c>
      <c r="D119" s="33">
        <f>COMBIN($C$118,D118)/COMBIN($C$1,D118)</f>
        <v>0.16666666666666666</v>
      </c>
      <c r="E119" s="36">
        <f>COMBIN($C$118,E118)/COMBIN($C$1,E118)</f>
        <v>2.1739130434782608E-2</v>
      </c>
      <c r="F119" s="36">
        <f>COMBIN($C$118,F118)/COMBIN($C$1,F118)</f>
        <v>1.976284584980237E-3</v>
      </c>
      <c r="G119" s="36">
        <f>COMBIN($C$118,G118)/COMBIN($C$1,G118)</f>
        <v>9.4108789760963672E-5</v>
      </c>
      <c r="H119" s="36"/>
      <c r="I119" s="16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 spans="1:28" s="10" customFormat="1" x14ac:dyDescent="0.2">
      <c r="C120" s="17" t="s">
        <v>7</v>
      </c>
      <c r="D120" s="37">
        <f>1/D119</f>
        <v>6</v>
      </c>
      <c r="E120" s="10">
        <f t="shared" ref="E120:G120" si="60">1/E119</f>
        <v>46</v>
      </c>
      <c r="F120" s="10">
        <f t="shared" si="60"/>
        <v>506.00000000000006</v>
      </c>
      <c r="G120" s="10">
        <f t="shared" si="60"/>
        <v>10626</v>
      </c>
      <c r="I120" s="12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1:28" s="10" customFormat="1" ht="16" thickBot="1" x14ac:dyDescent="0.25">
      <c r="C121" s="20" t="s">
        <v>8</v>
      </c>
      <c r="D121" s="11">
        <f>$F$1*D120</f>
        <v>5.58</v>
      </c>
      <c r="E121" s="38">
        <f t="shared" ref="E121:G121" si="61">$F$1*E120</f>
        <v>42.78</v>
      </c>
      <c r="F121" s="38">
        <f t="shared" si="61"/>
        <v>470.5800000000001</v>
      </c>
      <c r="G121" s="38">
        <f t="shared" si="61"/>
        <v>9882.18</v>
      </c>
      <c r="H121" s="38"/>
      <c r="I121" s="23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</row>
    <row r="122" spans="1:28" ht="16" thickBot="1" x14ac:dyDescent="0.25"/>
    <row r="123" spans="1:28" s="10" customFormat="1" ht="16" thickBot="1" x14ac:dyDescent="0.25">
      <c r="A123" s="5" t="s">
        <v>28</v>
      </c>
      <c r="B123" s="6" t="s">
        <v>3</v>
      </c>
      <c r="C123" s="7" t="s">
        <v>4</v>
      </c>
      <c r="D123" s="51" t="s">
        <v>5</v>
      </c>
      <c r="E123" s="52"/>
      <c r="F123" s="52"/>
      <c r="G123" s="52"/>
      <c r="H123" s="5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</row>
    <row r="124" spans="1:28" s="10" customFormat="1" ht="16" thickBot="1" x14ac:dyDescent="0.25">
      <c r="A124" s="11"/>
      <c r="B124" s="7">
        <v>21</v>
      </c>
      <c r="C124" s="12">
        <f>$C$1-B124</f>
        <v>3</v>
      </c>
      <c r="D124" s="6">
        <v>1</v>
      </c>
      <c r="E124" s="8">
        <f>D124+1</f>
        <v>2</v>
      </c>
      <c r="F124" s="8">
        <f t="shared" ref="F124:H124" si="62">E124+1</f>
        <v>3</v>
      </c>
      <c r="G124" s="8">
        <f t="shared" si="62"/>
        <v>4</v>
      </c>
      <c r="H124" s="9">
        <f t="shared" si="62"/>
        <v>5</v>
      </c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</row>
    <row r="125" spans="1:28" s="10" customFormat="1" x14ac:dyDescent="0.2">
      <c r="C125" s="13" t="s">
        <v>6</v>
      </c>
      <c r="D125" s="5">
        <f>COMBIN($C$124,D124)/COMBIN($C$1,D124)</f>
        <v>0.125</v>
      </c>
      <c r="E125" s="36">
        <f>COMBIN($C$124,E124)/COMBIN($C$1,E124)</f>
        <v>1.0869565217391304E-2</v>
      </c>
      <c r="F125" s="36">
        <f>COMBIN($C$124,F124)/COMBIN($C$1,F124)</f>
        <v>4.9407114624505926E-4</v>
      </c>
      <c r="G125" s="36"/>
      <c r="H125" s="16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1:28" s="10" customFormat="1" x14ac:dyDescent="0.2">
      <c r="C126" s="17" t="s">
        <v>7</v>
      </c>
      <c r="D126" s="37">
        <f>1/D125</f>
        <v>8</v>
      </c>
      <c r="E126" s="10">
        <f t="shared" ref="E126:F126" si="63">1/E125</f>
        <v>92</v>
      </c>
      <c r="F126" s="10">
        <f t="shared" si="63"/>
        <v>2024.0000000000002</v>
      </c>
      <c r="H126" s="12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1:28" s="10" customFormat="1" ht="16" thickBot="1" x14ac:dyDescent="0.25">
      <c r="C127" s="20" t="s">
        <v>8</v>
      </c>
      <c r="D127" s="11">
        <f>$F$1*D126</f>
        <v>7.44</v>
      </c>
      <c r="E127" s="38">
        <f t="shared" ref="E127:F127" si="64">$F$1*E126</f>
        <v>85.56</v>
      </c>
      <c r="F127" s="38">
        <f t="shared" si="64"/>
        <v>1882.3200000000004</v>
      </c>
      <c r="G127" s="38"/>
      <c r="H127" s="23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spans="1:28" ht="16" thickBot="1" x14ac:dyDescent="0.25"/>
    <row r="129" spans="1:28" s="10" customFormat="1" ht="16" thickBot="1" x14ac:dyDescent="0.25">
      <c r="A129" s="5" t="s">
        <v>29</v>
      </c>
      <c r="B129" s="6" t="s">
        <v>3</v>
      </c>
      <c r="C129" s="7" t="s">
        <v>4</v>
      </c>
      <c r="D129" s="51" t="s">
        <v>5</v>
      </c>
      <c r="E129" s="52"/>
      <c r="F129" s="52"/>
      <c r="G129" s="53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</row>
    <row r="130" spans="1:28" s="10" customFormat="1" ht="16" thickBot="1" x14ac:dyDescent="0.25">
      <c r="A130" s="11"/>
      <c r="B130" s="7">
        <v>22</v>
      </c>
      <c r="C130" s="12">
        <f>$C$1-B130</f>
        <v>2</v>
      </c>
      <c r="D130" s="6">
        <v>1</v>
      </c>
      <c r="E130" s="8">
        <f>D130+1</f>
        <v>2</v>
      </c>
      <c r="F130" s="8">
        <f t="shared" ref="F130:G130" si="65">E130+1</f>
        <v>3</v>
      </c>
      <c r="G130" s="9">
        <f t="shared" si="65"/>
        <v>4</v>
      </c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pans="1:28" s="10" customFormat="1" x14ac:dyDescent="0.2">
      <c r="C131" s="13" t="s">
        <v>6</v>
      </c>
      <c r="D131" s="5">
        <f>COMBIN($C$130,D130)/COMBIN($C$1,D130)</f>
        <v>8.3333333333333329E-2</v>
      </c>
      <c r="E131" s="36">
        <f>COMBIN($C$130,E130)/COMBIN($C$1,E130)</f>
        <v>3.6231884057971015E-3</v>
      </c>
      <c r="F131" s="36"/>
      <c r="G131" s="16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</row>
    <row r="132" spans="1:28" s="10" customFormat="1" x14ac:dyDescent="0.2">
      <c r="C132" s="17" t="s">
        <v>7</v>
      </c>
      <c r="D132" s="37">
        <f>1/D131</f>
        <v>12</v>
      </c>
      <c r="E132" s="10">
        <f t="shared" ref="E132" si="66">1/E131</f>
        <v>276</v>
      </c>
      <c r="G132" s="1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spans="1:28" s="10" customFormat="1" ht="16" thickBot="1" x14ac:dyDescent="0.25">
      <c r="C133" s="20" t="s">
        <v>8</v>
      </c>
      <c r="D133" s="11">
        <f>$F$1*D132</f>
        <v>11.16</v>
      </c>
      <c r="E133" s="38">
        <f t="shared" ref="E133" si="67">$F$1*E132</f>
        <v>256.68</v>
      </c>
      <c r="F133" s="38"/>
      <c r="G133" s="2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1:28" ht="16" thickBot="1" x14ac:dyDescent="0.25"/>
    <row r="135" spans="1:28" s="10" customFormat="1" ht="16" thickBot="1" x14ac:dyDescent="0.25">
      <c r="A135" s="5" t="s">
        <v>30</v>
      </c>
      <c r="B135" s="6" t="s">
        <v>3</v>
      </c>
      <c r="C135" s="7" t="s">
        <v>4</v>
      </c>
      <c r="D135" s="51" t="s">
        <v>5</v>
      </c>
      <c r="E135" s="52"/>
      <c r="F135" s="53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1:28" s="10" customFormat="1" ht="16" thickBot="1" x14ac:dyDescent="0.25">
      <c r="A136" s="11"/>
      <c r="B136" s="7">
        <v>23</v>
      </c>
      <c r="C136" s="12">
        <f>$C$1-B136</f>
        <v>1</v>
      </c>
      <c r="D136" s="6">
        <v>1</v>
      </c>
      <c r="E136" s="8">
        <f>D136+1</f>
        <v>2</v>
      </c>
      <c r="F136" s="9">
        <f t="shared" ref="F136" si="68">E136+1</f>
        <v>3</v>
      </c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1:28" s="10" customFormat="1" x14ac:dyDescent="0.2">
      <c r="C137" s="13" t="s">
        <v>6</v>
      </c>
      <c r="D137" s="5">
        <f>COMBIN($C$136,D136)/COMBIN($C$1,D136)</f>
        <v>4.1666666666666664E-2</v>
      </c>
      <c r="E137" s="36"/>
      <c r="F137" s="16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1:28" s="10" customFormat="1" x14ac:dyDescent="0.2">
      <c r="C138" s="17" t="s">
        <v>7</v>
      </c>
      <c r="D138" s="37">
        <f>1/D137</f>
        <v>24</v>
      </c>
      <c r="F138" s="12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1:28" s="10" customFormat="1" ht="16" thickBot="1" x14ac:dyDescent="0.25">
      <c r="C139" s="20" t="s">
        <v>8</v>
      </c>
      <c r="D139" s="11">
        <f>$F$1*D138</f>
        <v>22.32</v>
      </c>
      <c r="E139" s="38"/>
      <c r="F139" s="23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</sheetData>
  <mergeCells count="23">
    <mergeCell ref="D33:W33"/>
    <mergeCell ref="D3:AB3"/>
    <mergeCell ref="D9:AA9"/>
    <mergeCell ref="D15:Z15"/>
    <mergeCell ref="D21:Y21"/>
    <mergeCell ref="D27:X27"/>
    <mergeCell ref="D105:K105"/>
    <mergeCell ref="D39:V39"/>
    <mergeCell ref="D45:U45"/>
    <mergeCell ref="D51:T51"/>
    <mergeCell ref="D57:S57"/>
    <mergeCell ref="D63:R63"/>
    <mergeCell ref="D69:Q69"/>
    <mergeCell ref="D75:P75"/>
    <mergeCell ref="D81:O81"/>
    <mergeCell ref="D87:N87"/>
    <mergeCell ref="D93:M93"/>
    <mergeCell ref="D99:L99"/>
    <mergeCell ref="D111:J111"/>
    <mergeCell ref="D117:I117"/>
    <mergeCell ref="D123:H123"/>
    <mergeCell ref="D129:G129"/>
    <mergeCell ref="D135:F13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A7498-7928-41C6-B18A-37C57D413B13}">
  <dimension ref="A1:AB145"/>
  <sheetViews>
    <sheetView zoomScale="94" zoomScaleNormal="80" workbookViewId="0">
      <selection activeCell="A9" sqref="A9:XFD9"/>
    </sheetView>
  </sheetViews>
  <sheetFormatPr baseColWidth="10" defaultColWidth="8.83203125" defaultRowHeight="15" x14ac:dyDescent="0.2"/>
  <cols>
    <col min="2" max="2" width="10.83203125" bestFit="1" customWidth="1"/>
    <col min="3" max="3" width="14.5" customWidth="1"/>
    <col min="4" max="5" width="10.6640625" customWidth="1"/>
    <col min="6" max="8" width="13" bestFit="1" customWidth="1"/>
    <col min="9" max="9" width="13.1640625" bestFit="1" customWidth="1"/>
    <col min="10" max="11" width="14.5" bestFit="1" customWidth="1"/>
    <col min="12" max="12" width="15.5" bestFit="1" customWidth="1"/>
    <col min="13" max="13" width="13.1640625" bestFit="1" customWidth="1"/>
    <col min="14" max="16" width="14.5" bestFit="1" customWidth="1"/>
    <col min="17" max="17" width="15.5" bestFit="1" customWidth="1"/>
    <col min="18" max="18" width="16.5" bestFit="1" customWidth="1"/>
    <col min="19" max="19" width="17.5" bestFit="1" customWidth="1"/>
    <col min="20" max="20" width="15.5" bestFit="1" customWidth="1"/>
    <col min="21" max="21" width="14.5" bestFit="1" customWidth="1"/>
    <col min="22" max="22" width="12.5" bestFit="1" customWidth="1"/>
    <col min="23" max="23" width="13.1640625" bestFit="1" customWidth="1"/>
    <col min="24" max="24" width="12.33203125" bestFit="1" customWidth="1"/>
    <col min="25" max="25" width="12.1640625" bestFit="1" customWidth="1"/>
    <col min="26" max="27" width="13.1640625" bestFit="1" customWidth="1"/>
  </cols>
  <sheetData>
    <row r="1" spans="1:28" ht="16" thickBot="1" x14ac:dyDescent="0.25">
      <c r="B1" s="1" t="s">
        <v>0</v>
      </c>
      <c r="C1" s="2">
        <v>24</v>
      </c>
      <c r="E1" s="3" t="s">
        <v>1</v>
      </c>
      <c r="F1" s="4">
        <v>0.95</v>
      </c>
    </row>
    <row r="2" spans="1:28" ht="16" thickBot="1" x14ac:dyDescent="0.25"/>
    <row r="3" spans="1:28" s="10" customFormat="1" ht="16" thickBot="1" x14ac:dyDescent="0.25">
      <c r="A3" s="5" t="s">
        <v>2</v>
      </c>
      <c r="B3" s="6" t="s">
        <v>3</v>
      </c>
      <c r="C3" s="7" t="s">
        <v>4</v>
      </c>
      <c r="D3" s="51" t="s">
        <v>5</v>
      </c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3"/>
    </row>
    <row r="4" spans="1:28" s="10" customFormat="1" ht="16" thickBot="1" x14ac:dyDescent="0.25">
      <c r="A4" s="11"/>
      <c r="B4" s="7">
        <v>1</v>
      </c>
      <c r="C4" s="12">
        <f>$C$1-B4</f>
        <v>23</v>
      </c>
      <c r="D4" s="6">
        <v>1</v>
      </c>
      <c r="E4" s="8">
        <f>D4+1</f>
        <v>2</v>
      </c>
      <c r="F4" s="8">
        <f t="shared" ref="F4:AB4" si="0">E4+1</f>
        <v>3</v>
      </c>
      <c r="G4" s="8">
        <f t="shared" si="0"/>
        <v>4</v>
      </c>
      <c r="H4" s="8">
        <f t="shared" si="0"/>
        <v>5</v>
      </c>
      <c r="I4" s="8">
        <f t="shared" si="0"/>
        <v>6</v>
      </c>
      <c r="J4" s="8">
        <f t="shared" si="0"/>
        <v>7</v>
      </c>
      <c r="K4" s="8">
        <f t="shared" si="0"/>
        <v>8</v>
      </c>
      <c r="L4" s="8">
        <f t="shared" si="0"/>
        <v>9</v>
      </c>
      <c r="M4" s="8">
        <f t="shared" si="0"/>
        <v>10</v>
      </c>
      <c r="N4" s="8">
        <f t="shared" si="0"/>
        <v>11</v>
      </c>
      <c r="O4" s="8">
        <f t="shared" si="0"/>
        <v>12</v>
      </c>
      <c r="P4" s="8">
        <f t="shared" si="0"/>
        <v>13</v>
      </c>
      <c r="Q4" s="8">
        <f t="shared" si="0"/>
        <v>14</v>
      </c>
      <c r="R4" s="8">
        <f t="shared" si="0"/>
        <v>15</v>
      </c>
      <c r="S4" s="8">
        <f t="shared" si="0"/>
        <v>16</v>
      </c>
      <c r="T4" s="8">
        <f t="shared" si="0"/>
        <v>17</v>
      </c>
      <c r="U4" s="8">
        <f t="shared" si="0"/>
        <v>18</v>
      </c>
      <c r="V4" s="8">
        <f t="shared" si="0"/>
        <v>19</v>
      </c>
      <c r="W4" s="8">
        <f t="shared" si="0"/>
        <v>20</v>
      </c>
      <c r="X4" s="8">
        <f t="shared" si="0"/>
        <v>21</v>
      </c>
      <c r="Y4" s="8">
        <f t="shared" si="0"/>
        <v>22</v>
      </c>
      <c r="Z4" s="8">
        <f t="shared" si="0"/>
        <v>23</v>
      </c>
      <c r="AA4" s="8">
        <f t="shared" si="0"/>
        <v>24</v>
      </c>
      <c r="AB4" s="9">
        <f t="shared" si="0"/>
        <v>25</v>
      </c>
    </row>
    <row r="5" spans="1:28" s="10" customFormat="1" x14ac:dyDescent="0.2">
      <c r="C5" s="13" t="s">
        <v>6</v>
      </c>
      <c r="D5" s="14">
        <f>COMBIN($C$4,D4)/COMBIN($C$1,D4)</f>
        <v>0.95833333333333337</v>
      </c>
      <c r="E5" s="15">
        <f t="shared" ref="E5:Z5" si="1">COMBIN($C$4,E4)/COMBIN($C$1,E4)</f>
        <v>0.91666666666666663</v>
      </c>
      <c r="F5" s="15">
        <f t="shared" si="1"/>
        <v>0.87499999999999989</v>
      </c>
      <c r="G5" s="15">
        <f t="shared" si="1"/>
        <v>0.83333333333333337</v>
      </c>
      <c r="H5" s="15">
        <f t="shared" si="1"/>
        <v>0.79166666666666696</v>
      </c>
      <c r="I5" s="15">
        <f t="shared" si="1"/>
        <v>0.74999999999999989</v>
      </c>
      <c r="J5" s="15">
        <f t="shared" si="1"/>
        <v>0.70833333333333337</v>
      </c>
      <c r="K5" s="15">
        <f t="shared" si="1"/>
        <v>0.66666666666666663</v>
      </c>
      <c r="L5" s="15">
        <f t="shared" si="1"/>
        <v>0.625</v>
      </c>
      <c r="M5" s="15">
        <f t="shared" si="1"/>
        <v>0.58333333333333348</v>
      </c>
      <c r="N5" s="15">
        <f t="shared" si="1"/>
        <v>0.54166666666666663</v>
      </c>
      <c r="O5" s="15">
        <f t="shared" si="1"/>
        <v>0.49999999999999989</v>
      </c>
      <c r="P5" s="15">
        <f t="shared" si="1"/>
        <v>0.45833333333333331</v>
      </c>
      <c r="Q5" s="15">
        <f t="shared" si="1"/>
        <v>0.41666666666666669</v>
      </c>
      <c r="R5" s="15">
        <f t="shared" si="1"/>
        <v>0.375</v>
      </c>
      <c r="S5" s="15">
        <f t="shared" si="1"/>
        <v>0.33333333333333331</v>
      </c>
      <c r="T5" s="15">
        <f t="shared" si="1"/>
        <v>0.29166666666666669</v>
      </c>
      <c r="U5" s="15">
        <f t="shared" si="1"/>
        <v>0.25</v>
      </c>
      <c r="V5" s="15">
        <f t="shared" si="1"/>
        <v>0.20833333333333337</v>
      </c>
      <c r="W5" s="15">
        <f t="shared" si="1"/>
        <v>0.16666666666666666</v>
      </c>
      <c r="X5" s="15">
        <f t="shared" si="1"/>
        <v>0.12499999999999999</v>
      </c>
      <c r="Y5" s="15">
        <f t="shared" si="1"/>
        <v>8.3333333333333329E-2</v>
      </c>
      <c r="Z5" s="15">
        <f t="shared" si="1"/>
        <v>4.1666666666666664E-2</v>
      </c>
      <c r="AA5" s="15"/>
      <c r="AB5" s="16"/>
    </row>
    <row r="6" spans="1:28" s="10" customFormat="1" x14ac:dyDescent="0.2">
      <c r="C6" s="17" t="s">
        <v>7</v>
      </c>
      <c r="D6" s="18">
        <f>1/D5</f>
        <v>1.0434782608695652</v>
      </c>
      <c r="E6" s="19">
        <f t="shared" ref="E6:Z6" si="2">1/E5</f>
        <v>1.0909090909090911</v>
      </c>
      <c r="F6" s="19">
        <f t="shared" si="2"/>
        <v>1.142857142857143</v>
      </c>
      <c r="G6" s="19">
        <f t="shared" si="2"/>
        <v>1.2</v>
      </c>
      <c r="H6" s="19">
        <f t="shared" si="2"/>
        <v>1.2631578947368416</v>
      </c>
      <c r="I6" s="19">
        <f t="shared" si="2"/>
        <v>1.3333333333333335</v>
      </c>
      <c r="J6" s="19">
        <f t="shared" si="2"/>
        <v>1.4117647058823528</v>
      </c>
      <c r="K6" s="19">
        <f t="shared" si="2"/>
        <v>1.5</v>
      </c>
      <c r="L6" s="19">
        <f t="shared" si="2"/>
        <v>1.6</v>
      </c>
      <c r="M6" s="19">
        <f t="shared" si="2"/>
        <v>1.7142857142857137</v>
      </c>
      <c r="N6" s="19">
        <f t="shared" si="2"/>
        <v>1.8461538461538463</v>
      </c>
      <c r="O6" s="19">
        <f t="shared" si="2"/>
        <v>2.0000000000000004</v>
      </c>
      <c r="P6" s="19">
        <f t="shared" si="2"/>
        <v>2.1818181818181821</v>
      </c>
      <c r="Q6" s="19">
        <f t="shared" si="2"/>
        <v>2.4</v>
      </c>
      <c r="R6" s="19">
        <f t="shared" si="2"/>
        <v>2.6666666666666665</v>
      </c>
      <c r="S6" s="19">
        <f t="shared" si="2"/>
        <v>3</v>
      </c>
      <c r="T6" s="19">
        <f t="shared" si="2"/>
        <v>3.4285714285714284</v>
      </c>
      <c r="U6" s="19">
        <f t="shared" si="2"/>
        <v>4</v>
      </c>
      <c r="V6" s="19">
        <f t="shared" si="2"/>
        <v>4.7999999999999989</v>
      </c>
      <c r="W6" s="19">
        <f t="shared" si="2"/>
        <v>6</v>
      </c>
      <c r="X6" s="19">
        <f t="shared" si="2"/>
        <v>8.0000000000000018</v>
      </c>
      <c r="Y6" s="19">
        <f t="shared" si="2"/>
        <v>12</v>
      </c>
      <c r="Z6" s="19">
        <f t="shared" si="2"/>
        <v>24</v>
      </c>
      <c r="AA6" s="19"/>
      <c r="AB6" s="12"/>
    </row>
    <row r="7" spans="1:28" s="10" customFormat="1" ht="16" thickBot="1" x14ac:dyDescent="0.25">
      <c r="C7" s="20" t="s">
        <v>8</v>
      </c>
      <c r="D7" s="21">
        <f>$F$1*D6</f>
        <v>0.9913043478260869</v>
      </c>
      <c r="E7" s="22">
        <f t="shared" ref="E7:Z7" si="3">$F$1*E6</f>
        <v>1.0363636363636364</v>
      </c>
      <c r="F7" s="22">
        <f t="shared" si="3"/>
        <v>1.0857142857142859</v>
      </c>
      <c r="G7" s="22">
        <f t="shared" si="3"/>
        <v>1.1399999999999999</v>
      </c>
      <c r="H7" s="22">
        <f t="shared" si="3"/>
        <v>1.1999999999999995</v>
      </c>
      <c r="I7" s="22">
        <f t="shared" si="3"/>
        <v>1.2666666666666668</v>
      </c>
      <c r="J7" s="22">
        <f t="shared" si="3"/>
        <v>1.3411764705882352</v>
      </c>
      <c r="K7" s="22">
        <f t="shared" si="3"/>
        <v>1.4249999999999998</v>
      </c>
      <c r="L7" s="22">
        <f t="shared" si="3"/>
        <v>1.52</v>
      </c>
      <c r="M7" s="22">
        <f t="shared" si="3"/>
        <v>1.6285714285714279</v>
      </c>
      <c r="N7" s="22">
        <f t="shared" si="3"/>
        <v>1.7538461538461538</v>
      </c>
      <c r="O7" s="22">
        <f t="shared" si="3"/>
        <v>1.9000000000000004</v>
      </c>
      <c r="P7" s="22">
        <f t="shared" si="3"/>
        <v>2.0727272727272728</v>
      </c>
      <c r="Q7" s="22">
        <f t="shared" si="3"/>
        <v>2.2799999999999998</v>
      </c>
      <c r="R7" s="22">
        <f t="shared" si="3"/>
        <v>2.5333333333333332</v>
      </c>
      <c r="S7" s="22">
        <f t="shared" si="3"/>
        <v>2.8499999999999996</v>
      </c>
      <c r="T7" s="22">
        <f t="shared" si="3"/>
        <v>3.2571428571428567</v>
      </c>
      <c r="U7" s="22">
        <f t="shared" si="3"/>
        <v>3.8</v>
      </c>
      <c r="V7" s="22">
        <f t="shared" si="3"/>
        <v>4.5599999999999987</v>
      </c>
      <c r="W7" s="22">
        <f t="shared" si="3"/>
        <v>5.6999999999999993</v>
      </c>
      <c r="X7" s="22">
        <f t="shared" si="3"/>
        <v>7.6000000000000014</v>
      </c>
      <c r="Y7" s="22">
        <f t="shared" si="3"/>
        <v>11.399999999999999</v>
      </c>
      <c r="Z7" s="22">
        <f t="shared" si="3"/>
        <v>22.799999999999997</v>
      </c>
      <c r="AA7" s="22"/>
      <c r="AB7" s="23"/>
    </row>
    <row r="8" spans="1:28" ht="16" thickBot="1" x14ac:dyDescent="0.25"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28" s="10" customFormat="1" ht="16" thickBot="1" x14ac:dyDescent="0.25">
      <c r="A9" s="5" t="s">
        <v>9</v>
      </c>
      <c r="B9" s="6" t="s">
        <v>3</v>
      </c>
      <c r="C9" s="7" t="s">
        <v>4</v>
      </c>
      <c r="D9" s="54" t="s">
        <v>5</v>
      </c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6"/>
      <c r="AB9"/>
    </row>
    <row r="10" spans="1:28" s="10" customFormat="1" ht="16" thickBot="1" x14ac:dyDescent="0.25">
      <c r="A10" s="11"/>
      <c r="B10" s="7">
        <v>2</v>
      </c>
      <c r="C10" s="12">
        <f>$C$1-B10</f>
        <v>22</v>
      </c>
      <c r="D10" s="25">
        <v>1</v>
      </c>
      <c r="E10" s="26">
        <f>D10+1</f>
        <v>2</v>
      </c>
      <c r="F10" s="26">
        <f t="shared" ref="F10:AA10" si="4">E10+1</f>
        <v>3</v>
      </c>
      <c r="G10" s="26">
        <f t="shared" si="4"/>
        <v>4</v>
      </c>
      <c r="H10" s="26">
        <f t="shared" si="4"/>
        <v>5</v>
      </c>
      <c r="I10" s="26">
        <f t="shared" si="4"/>
        <v>6</v>
      </c>
      <c r="J10" s="26">
        <f t="shared" si="4"/>
        <v>7</v>
      </c>
      <c r="K10" s="26">
        <f t="shared" si="4"/>
        <v>8</v>
      </c>
      <c r="L10" s="26">
        <f t="shared" si="4"/>
        <v>9</v>
      </c>
      <c r="M10" s="26">
        <f t="shared" si="4"/>
        <v>10</v>
      </c>
      <c r="N10" s="26">
        <f t="shared" si="4"/>
        <v>11</v>
      </c>
      <c r="O10" s="26">
        <f t="shared" si="4"/>
        <v>12</v>
      </c>
      <c r="P10" s="26">
        <f t="shared" si="4"/>
        <v>13</v>
      </c>
      <c r="Q10" s="26">
        <f t="shared" si="4"/>
        <v>14</v>
      </c>
      <c r="R10" s="26">
        <f t="shared" si="4"/>
        <v>15</v>
      </c>
      <c r="S10" s="26">
        <f t="shared" si="4"/>
        <v>16</v>
      </c>
      <c r="T10" s="26">
        <f t="shared" si="4"/>
        <v>17</v>
      </c>
      <c r="U10" s="26">
        <f t="shared" si="4"/>
        <v>18</v>
      </c>
      <c r="V10" s="26">
        <f t="shared" si="4"/>
        <v>19</v>
      </c>
      <c r="W10" s="26">
        <f t="shared" si="4"/>
        <v>20</v>
      </c>
      <c r="X10" s="26">
        <f t="shared" si="4"/>
        <v>21</v>
      </c>
      <c r="Y10" s="26">
        <f t="shared" si="4"/>
        <v>22</v>
      </c>
      <c r="Z10" s="26">
        <f t="shared" si="4"/>
        <v>23</v>
      </c>
      <c r="AA10" s="27">
        <f t="shared" si="4"/>
        <v>24</v>
      </c>
      <c r="AB10"/>
    </row>
    <row r="11" spans="1:28" s="10" customFormat="1" x14ac:dyDescent="0.2">
      <c r="C11" s="13" t="s">
        <v>6</v>
      </c>
      <c r="D11" s="14">
        <f>COMBIN($C$10,D10)/COMBIN($C$1,D10)</f>
        <v>0.91666666666666663</v>
      </c>
      <c r="E11" s="15">
        <f>COMBIN($C$10,E10)/COMBIN($C$1,E10)</f>
        <v>0.83695652173913049</v>
      </c>
      <c r="F11" s="15">
        <f>COMBIN($C$10,F10)/COMBIN($C$1,F10)</f>
        <v>0.76086956521739124</v>
      </c>
      <c r="G11" s="15">
        <f>COMBIN($C$10,G10)/COMBIN($C$1,G10)</f>
        <v>0.68840579710144922</v>
      </c>
      <c r="H11" s="15">
        <f>COMBIN($C$10,H10)/COMBIN($C$1,H10)</f>
        <v>0.61956521739130443</v>
      </c>
      <c r="I11" s="15">
        <f>COMBIN($C$10,I10)/COMBIN($C$1,I10)</f>
        <v>0.55434782608695643</v>
      </c>
      <c r="J11" s="15">
        <f>COMBIN($C$10,J10)/COMBIN($C$1,J10)</f>
        <v>0.49275362318840582</v>
      </c>
      <c r="K11" s="15">
        <f>COMBIN($C$10,K10)/COMBIN($C$1,K10)</f>
        <v>0.43478260869565216</v>
      </c>
      <c r="L11" s="15">
        <f>COMBIN($C$10,L10)/COMBIN($C$1,L10)</f>
        <v>0.38043478260869568</v>
      </c>
      <c r="M11" s="15">
        <f>COMBIN($C$10,M10)/COMBIN($C$1,M10)</f>
        <v>0.32971014492753631</v>
      </c>
      <c r="N11" s="15">
        <f>COMBIN($C$10,N10)/COMBIN($C$1,N10)</f>
        <v>0.28260869565217384</v>
      </c>
      <c r="O11" s="15">
        <f>COMBIN($C$10,O10)/COMBIN($C$1,O10)</f>
        <v>0.23913043478260865</v>
      </c>
      <c r="P11" s="15">
        <f>COMBIN($C$10,P10)/COMBIN($C$1,P10)</f>
        <v>0.19927536231884055</v>
      </c>
      <c r="Q11" s="15">
        <f>COMBIN($C$10,Q10)/COMBIN($C$1,Q10)</f>
        <v>0.16304347826086957</v>
      </c>
      <c r="R11" s="15">
        <f>COMBIN($C$10,R10)/COMBIN($C$1,R10)</f>
        <v>0.13043478260869565</v>
      </c>
      <c r="S11" s="15">
        <f>COMBIN($C$10,S10)/COMBIN($C$1,S10)</f>
        <v>0.10144927536231885</v>
      </c>
      <c r="T11" s="15">
        <f>COMBIN($C$10,T10)/COMBIN($C$1,T10)</f>
        <v>7.6086956521739135E-2</v>
      </c>
      <c r="U11" s="15">
        <f>COMBIN($C$10,U10)/COMBIN($C$1,U10)</f>
        <v>5.4347826086956513E-2</v>
      </c>
      <c r="V11" s="15">
        <f>COMBIN($C$10,V10)/COMBIN($C$1,V10)</f>
        <v>3.6231884057971023E-2</v>
      </c>
      <c r="W11" s="15">
        <f>COMBIN($C$10,W10)/COMBIN($C$1,W10)</f>
        <v>2.1739130434782608E-2</v>
      </c>
      <c r="X11" s="15">
        <f>COMBIN($C$10,X10)/COMBIN($C$1,X10)</f>
        <v>1.0869565217391302E-2</v>
      </c>
      <c r="Y11" s="15">
        <f>COMBIN($C$10,Y10)/COMBIN($C$1,Y10)</f>
        <v>3.6231884057971015E-3</v>
      </c>
      <c r="Z11" s="15"/>
      <c r="AA11" s="28"/>
      <c r="AB11"/>
    </row>
    <row r="12" spans="1:28" s="10" customFormat="1" x14ac:dyDescent="0.2">
      <c r="C12" s="17" t="s">
        <v>7</v>
      </c>
      <c r="D12" s="18">
        <f>1/D11</f>
        <v>1.0909090909090911</v>
      </c>
      <c r="E12" s="19">
        <f t="shared" ref="E12:Y12" si="5">1/E11</f>
        <v>1.1948051948051948</v>
      </c>
      <c r="F12" s="19">
        <f t="shared" si="5"/>
        <v>1.3142857142857145</v>
      </c>
      <c r="G12" s="19">
        <f t="shared" si="5"/>
        <v>1.4526315789473685</v>
      </c>
      <c r="H12" s="19">
        <f t="shared" si="5"/>
        <v>1.6140350877192979</v>
      </c>
      <c r="I12" s="19">
        <f t="shared" si="5"/>
        <v>1.8039215686274512</v>
      </c>
      <c r="J12" s="19">
        <f t="shared" si="5"/>
        <v>2.0294117647058822</v>
      </c>
      <c r="K12" s="19">
        <f t="shared" si="5"/>
        <v>2.3000000000000003</v>
      </c>
      <c r="L12" s="19">
        <f t="shared" si="5"/>
        <v>2.6285714285714286</v>
      </c>
      <c r="M12" s="19">
        <f t="shared" si="5"/>
        <v>3.0329670329670324</v>
      </c>
      <c r="N12" s="19">
        <f t="shared" si="5"/>
        <v>3.5384615384615392</v>
      </c>
      <c r="O12" s="19">
        <f t="shared" si="5"/>
        <v>4.1818181818181825</v>
      </c>
      <c r="P12" s="19">
        <f t="shared" si="5"/>
        <v>5.0181818181818185</v>
      </c>
      <c r="Q12" s="19">
        <f t="shared" si="5"/>
        <v>6.1333333333333329</v>
      </c>
      <c r="R12" s="19">
        <f t="shared" si="5"/>
        <v>7.666666666666667</v>
      </c>
      <c r="S12" s="19">
        <f t="shared" si="5"/>
        <v>9.8571428571428559</v>
      </c>
      <c r="T12" s="19">
        <f t="shared" si="5"/>
        <v>13.142857142857142</v>
      </c>
      <c r="U12" s="19">
        <f t="shared" si="5"/>
        <v>18.400000000000002</v>
      </c>
      <c r="V12" s="19">
        <f t="shared" si="5"/>
        <v>27.599999999999994</v>
      </c>
      <c r="W12" s="19">
        <f t="shared" si="5"/>
        <v>46</v>
      </c>
      <c r="X12" s="19">
        <f t="shared" si="5"/>
        <v>92.000000000000014</v>
      </c>
      <c r="Y12" s="19">
        <f t="shared" si="5"/>
        <v>276</v>
      </c>
      <c r="Z12" s="19"/>
      <c r="AA12" s="29"/>
      <c r="AB12"/>
    </row>
    <row r="13" spans="1:28" s="10" customFormat="1" ht="16" thickBot="1" x14ac:dyDescent="0.25">
      <c r="C13" s="20" t="s">
        <v>8</v>
      </c>
      <c r="D13" s="30">
        <f>$F$1*D12</f>
        <v>1.0363636363636364</v>
      </c>
      <c r="E13" s="31">
        <f t="shared" ref="E13:Y13" si="6">$F$1*E12</f>
        <v>1.1350649350649349</v>
      </c>
      <c r="F13" s="31">
        <f t="shared" si="6"/>
        <v>1.2485714285714287</v>
      </c>
      <c r="G13" s="31">
        <f t="shared" si="6"/>
        <v>1.3800000000000001</v>
      </c>
      <c r="H13" s="31">
        <f t="shared" si="6"/>
        <v>1.533333333333333</v>
      </c>
      <c r="I13" s="31">
        <f t="shared" si="6"/>
        <v>1.7137254901960786</v>
      </c>
      <c r="J13" s="31">
        <f t="shared" si="6"/>
        <v>1.927941176470588</v>
      </c>
      <c r="K13" s="31">
        <f t="shared" si="6"/>
        <v>2.1850000000000001</v>
      </c>
      <c r="L13" s="31">
        <f t="shared" si="6"/>
        <v>2.4971428571428569</v>
      </c>
      <c r="M13" s="31">
        <f t="shared" si="6"/>
        <v>2.8813186813186809</v>
      </c>
      <c r="N13" s="31">
        <f t="shared" si="6"/>
        <v>3.361538461538462</v>
      </c>
      <c r="O13" s="31">
        <f t="shared" si="6"/>
        <v>3.9727272727272731</v>
      </c>
      <c r="P13" s="31">
        <f t="shared" si="6"/>
        <v>4.7672727272727276</v>
      </c>
      <c r="Q13" s="31">
        <f t="shared" si="6"/>
        <v>5.8266666666666662</v>
      </c>
      <c r="R13" s="31">
        <f t="shared" si="6"/>
        <v>7.2833333333333332</v>
      </c>
      <c r="S13" s="31">
        <f t="shared" si="6"/>
        <v>9.3642857142857121</v>
      </c>
      <c r="T13" s="31">
        <f t="shared" si="6"/>
        <v>12.485714285714284</v>
      </c>
      <c r="U13" s="31">
        <f t="shared" si="6"/>
        <v>17.48</v>
      </c>
      <c r="V13" s="31">
        <f t="shared" si="6"/>
        <v>26.219999999999992</v>
      </c>
      <c r="W13" s="31">
        <f t="shared" si="6"/>
        <v>43.699999999999996</v>
      </c>
      <c r="X13" s="31">
        <f t="shared" si="6"/>
        <v>87.4</v>
      </c>
      <c r="Y13" s="31">
        <f t="shared" si="6"/>
        <v>262.2</v>
      </c>
      <c r="Z13" s="31"/>
      <c r="AA13" s="32"/>
      <c r="AB13"/>
    </row>
    <row r="14" spans="1:28" ht="16" thickBot="1" x14ac:dyDescent="0.25"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28" s="10" customFormat="1" ht="16" thickBot="1" x14ac:dyDescent="0.25">
      <c r="A15" s="5" t="s">
        <v>10</v>
      </c>
      <c r="B15" s="6" t="s">
        <v>3</v>
      </c>
      <c r="C15" s="7" t="s">
        <v>4</v>
      </c>
      <c r="D15" s="54" t="s">
        <v>5</v>
      </c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6"/>
      <c r="AA15" s="24"/>
      <c r="AB15"/>
    </row>
    <row r="16" spans="1:28" s="10" customFormat="1" ht="16" thickBot="1" x14ac:dyDescent="0.25">
      <c r="A16" s="11"/>
      <c r="B16" s="7">
        <v>3</v>
      </c>
      <c r="C16" s="12">
        <f>$C$1-B16</f>
        <v>21</v>
      </c>
      <c r="D16" s="25">
        <v>1</v>
      </c>
      <c r="E16" s="26">
        <f>D16+1</f>
        <v>2</v>
      </c>
      <c r="F16" s="26">
        <f t="shared" ref="F16:Z16" si="7">E16+1</f>
        <v>3</v>
      </c>
      <c r="G16" s="26">
        <f t="shared" si="7"/>
        <v>4</v>
      </c>
      <c r="H16" s="26">
        <f t="shared" si="7"/>
        <v>5</v>
      </c>
      <c r="I16" s="26">
        <f t="shared" si="7"/>
        <v>6</v>
      </c>
      <c r="J16" s="26">
        <f t="shared" si="7"/>
        <v>7</v>
      </c>
      <c r="K16" s="26">
        <f t="shared" si="7"/>
        <v>8</v>
      </c>
      <c r="L16" s="26">
        <f t="shared" si="7"/>
        <v>9</v>
      </c>
      <c r="M16" s="26">
        <f t="shared" si="7"/>
        <v>10</v>
      </c>
      <c r="N16" s="26">
        <f t="shared" si="7"/>
        <v>11</v>
      </c>
      <c r="O16" s="26">
        <f t="shared" si="7"/>
        <v>12</v>
      </c>
      <c r="P16" s="26">
        <f t="shared" si="7"/>
        <v>13</v>
      </c>
      <c r="Q16" s="26">
        <f t="shared" si="7"/>
        <v>14</v>
      </c>
      <c r="R16" s="26">
        <f t="shared" si="7"/>
        <v>15</v>
      </c>
      <c r="S16" s="26">
        <f t="shared" si="7"/>
        <v>16</v>
      </c>
      <c r="T16" s="26">
        <f t="shared" si="7"/>
        <v>17</v>
      </c>
      <c r="U16" s="26">
        <f t="shared" si="7"/>
        <v>18</v>
      </c>
      <c r="V16" s="26">
        <f t="shared" si="7"/>
        <v>19</v>
      </c>
      <c r="W16" s="26">
        <f t="shared" si="7"/>
        <v>20</v>
      </c>
      <c r="X16" s="26">
        <f t="shared" si="7"/>
        <v>21</v>
      </c>
      <c r="Y16" s="26">
        <f t="shared" si="7"/>
        <v>22</v>
      </c>
      <c r="Z16" s="27">
        <f t="shared" si="7"/>
        <v>23</v>
      </c>
      <c r="AA16" s="24"/>
      <c r="AB16"/>
    </row>
    <row r="17" spans="1:28" s="10" customFormat="1" x14ac:dyDescent="0.2">
      <c r="C17" s="13" t="s">
        <v>6</v>
      </c>
      <c r="D17" s="14">
        <f>COMBIN($C$16,D16)/COMBIN($C$1,D16)</f>
        <v>0.875</v>
      </c>
      <c r="E17" s="15">
        <f>COMBIN($C$16,E16)/COMBIN($C$1,E16)</f>
        <v>0.76086956521739135</v>
      </c>
      <c r="F17" s="15">
        <f>COMBIN($C$16,F16)/COMBIN($C$1,F16)</f>
        <v>0.65711462450592883</v>
      </c>
      <c r="G17" s="15">
        <f>COMBIN($C$16,G16)/COMBIN($C$1,G16)</f>
        <v>0.56324110671936756</v>
      </c>
      <c r="H17" s="15">
        <f>COMBIN($C$16,H16)/COMBIN($C$1,H16)</f>
        <v>0.47875494071146252</v>
      </c>
      <c r="I17" s="15">
        <f>COMBIN($C$16,I16)/COMBIN($C$1,I16)</f>
        <v>0.40316205533596827</v>
      </c>
      <c r="J17" s="15">
        <f>COMBIN($C$16,J16)/COMBIN($C$1,J16)</f>
        <v>0.33596837944664032</v>
      </c>
      <c r="K17" s="15">
        <f>COMBIN($C$16,K16)/COMBIN($C$1,K16)</f>
        <v>0.27667984189723321</v>
      </c>
      <c r="L17" s="15">
        <f>COMBIN($C$16,L16)/COMBIN($C$1,L16)</f>
        <v>0.22480237154150201</v>
      </c>
      <c r="M17" s="15">
        <f>COMBIN($C$16,M16)/COMBIN($C$1,M16)</f>
        <v>0.17984189723320157</v>
      </c>
      <c r="N17" s="15">
        <f>COMBIN($C$16,N16)/COMBIN($C$1,N16)</f>
        <v>0.14130434782608692</v>
      </c>
      <c r="O17" s="15">
        <f>COMBIN($C$16,O16)/COMBIN($C$1,O16)</f>
        <v>0.10869565217391303</v>
      </c>
      <c r="P17" s="15">
        <f>COMBIN($C$16,P16)/COMBIN($C$1,P16)</f>
        <v>8.152173913043477E-2</v>
      </c>
      <c r="Q17" s="15">
        <f>COMBIN($C$16,Q16)/COMBIN($C$1,Q16)</f>
        <v>5.9288537549407112E-2</v>
      </c>
      <c r="R17" s="15">
        <f>COMBIN($C$16,R16)/COMBIN($C$1,R16)</f>
        <v>4.1501976284584984E-2</v>
      </c>
      <c r="S17" s="15">
        <f>COMBIN($C$16,S16)/COMBIN($C$1,S16)</f>
        <v>2.766798418972332E-2</v>
      </c>
      <c r="T17" s="15">
        <f>COMBIN($C$16,T16)/COMBIN($C$1,T16)</f>
        <v>1.7292490118577076E-2</v>
      </c>
      <c r="U17" s="15">
        <f>COMBIN($C$16,U16)/COMBIN($C$1,U16)</f>
        <v>9.8814229249011842E-3</v>
      </c>
      <c r="V17" s="15">
        <f>COMBIN($C$16,V16)/COMBIN($C$1,V16)</f>
        <v>4.9407114624505939E-3</v>
      </c>
      <c r="W17" s="15">
        <f>COMBIN($C$16,W16)/COMBIN($C$1,W16)</f>
        <v>1.976284584980237E-3</v>
      </c>
      <c r="X17" s="15">
        <f>COMBIN($C$16,X16)/COMBIN($C$1,X16)</f>
        <v>4.9407114624505926E-4</v>
      </c>
      <c r="Y17" s="15"/>
      <c r="Z17" s="28"/>
      <c r="AA17" s="24"/>
      <c r="AB17"/>
    </row>
    <row r="18" spans="1:28" s="10" customFormat="1" x14ac:dyDescent="0.2">
      <c r="C18" s="17" t="s">
        <v>7</v>
      </c>
      <c r="D18" s="18">
        <f>1/D17</f>
        <v>1.1428571428571428</v>
      </c>
      <c r="E18" s="19">
        <f t="shared" ref="E18:X18" si="8">1/E17</f>
        <v>1.3142857142857143</v>
      </c>
      <c r="F18" s="19">
        <f t="shared" si="8"/>
        <v>1.5218045112781955</v>
      </c>
      <c r="G18" s="19">
        <f t="shared" si="8"/>
        <v>1.7754385964912283</v>
      </c>
      <c r="H18" s="19">
        <f t="shared" si="8"/>
        <v>2.0887512899896796</v>
      </c>
      <c r="I18" s="19">
        <f t="shared" si="8"/>
        <v>2.4803921568627456</v>
      </c>
      <c r="J18" s="19">
        <f t="shared" si="8"/>
        <v>2.9764705882352942</v>
      </c>
      <c r="K18" s="19">
        <f t="shared" si="8"/>
        <v>3.6142857142857143</v>
      </c>
      <c r="L18" s="19">
        <f t="shared" si="8"/>
        <v>4.4483516483516476</v>
      </c>
      <c r="M18" s="19">
        <f t="shared" si="8"/>
        <v>5.5604395604395611</v>
      </c>
      <c r="N18" s="19">
        <f t="shared" si="8"/>
        <v>7.0769230769230784</v>
      </c>
      <c r="O18" s="19">
        <f t="shared" si="8"/>
        <v>9.2000000000000011</v>
      </c>
      <c r="P18" s="19">
        <f t="shared" si="8"/>
        <v>12.266666666666669</v>
      </c>
      <c r="Q18" s="19">
        <f t="shared" si="8"/>
        <v>16.866666666666667</v>
      </c>
      <c r="R18" s="19">
        <f t="shared" si="8"/>
        <v>24.095238095238095</v>
      </c>
      <c r="S18" s="19">
        <f t="shared" si="8"/>
        <v>36.142857142857146</v>
      </c>
      <c r="T18" s="19">
        <f t="shared" si="8"/>
        <v>57.828571428571429</v>
      </c>
      <c r="U18" s="19">
        <f t="shared" si="8"/>
        <v>101.20000000000002</v>
      </c>
      <c r="V18" s="19">
        <f t="shared" si="8"/>
        <v>202.39999999999995</v>
      </c>
      <c r="W18" s="19">
        <f t="shared" si="8"/>
        <v>506.00000000000006</v>
      </c>
      <c r="X18" s="19">
        <f t="shared" si="8"/>
        <v>2024.0000000000002</v>
      </c>
      <c r="Y18" s="19"/>
      <c r="Z18" s="29"/>
      <c r="AA18" s="24"/>
      <c r="AB18"/>
    </row>
    <row r="19" spans="1:28" s="10" customFormat="1" ht="16" thickBot="1" x14ac:dyDescent="0.25">
      <c r="C19" s="20" t="s">
        <v>8</v>
      </c>
      <c r="D19" s="30">
        <f>$F$1*D18</f>
        <v>1.0857142857142856</v>
      </c>
      <c r="E19" s="31">
        <f t="shared" ref="E19:X19" si="9">$F$1*E18</f>
        <v>1.2485714285714284</v>
      </c>
      <c r="F19" s="31">
        <f t="shared" si="9"/>
        <v>1.4457142857142857</v>
      </c>
      <c r="G19" s="31">
        <f t="shared" si="9"/>
        <v>1.6866666666666668</v>
      </c>
      <c r="H19" s="31">
        <f t="shared" si="9"/>
        <v>1.9843137254901955</v>
      </c>
      <c r="I19" s="31">
        <f t="shared" si="9"/>
        <v>2.3563725490196084</v>
      </c>
      <c r="J19" s="31">
        <f t="shared" si="9"/>
        <v>2.8276470588235294</v>
      </c>
      <c r="K19" s="31">
        <f t="shared" si="9"/>
        <v>3.4335714285714283</v>
      </c>
      <c r="L19" s="31">
        <f t="shared" si="9"/>
        <v>4.225934065934065</v>
      </c>
      <c r="M19" s="31">
        <f t="shared" si="9"/>
        <v>5.2824175824175832</v>
      </c>
      <c r="N19" s="31">
        <f t="shared" si="9"/>
        <v>6.7230769230769241</v>
      </c>
      <c r="O19" s="31">
        <f t="shared" si="9"/>
        <v>8.74</v>
      </c>
      <c r="P19" s="31">
        <f t="shared" si="9"/>
        <v>11.653333333333336</v>
      </c>
      <c r="Q19" s="31">
        <f t="shared" si="9"/>
        <v>16.023333333333333</v>
      </c>
      <c r="R19" s="31">
        <f t="shared" si="9"/>
        <v>22.890476190476189</v>
      </c>
      <c r="S19" s="31">
        <f t="shared" si="9"/>
        <v>34.335714285714289</v>
      </c>
      <c r="T19" s="31">
        <f t="shared" si="9"/>
        <v>54.937142857142852</v>
      </c>
      <c r="U19" s="31">
        <f t="shared" si="9"/>
        <v>96.140000000000015</v>
      </c>
      <c r="V19" s="31">
        <f t="shared" si="9"/>
        <v>192.27999999999994</v>
      </c>
      <c r="W19" s="31">
        <f t="shared" si="9"/>
        <v>480.70000000000005</v>
      </c>
      <c r="X19" s="31">
        <f t="shared" si="9"/>
        <v>1922.8000000000002</v>
      </c>
      <c r="Y19" s="31"/>
      <c r="Z19" s="32"/>
      <c r="AA19" s="24"/>
      <c r="AB19"/>
    </row>
    <row r="20" spans="1:28" ht="16" thickBot="1" x14ac:dyDescent="0.25"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spans="1:28" s="10" customFormat="1" ht="16" thickBot="1" x14ac:dyDescent="0.25">
      <c r="A21" s="5" t="s">
        <v>11</v>
      </c>
      <c r="B21" s="6" t="s">
        <v>3</v>
      </c>
      <c r="C21" s="7" t="s">
        <v>4</v>
      </c>
      <c r="D21" s="54" t="s">
        <v>5</v>
      </c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6"/>
      <c r="Z21" s="24"/>
      <c r="AA21" s="24"/>
      <c r="AB21"/>
    </row>
    <row r="22" spans="1:28" s="10" customFormat="1" ht="16" thickBot="1" x14ac:dyDescent="0.25">
      <c r="A22" s="11"/>
      <c r="B22" s="7">
        <v>4</v>
      </c>
      <c r="C22" s="12">
        <f>$C$1-B22</f>
        <v>20</v>
      </c>
      <c r="D22" s="25">
        <v>1</v>
      </c>
      <c r="E22" s="26">
        <f>D22+1</f>
        <v>2</v>
      </c>
      <c r="F22" s="26">
        <f t="shared" ref="F22:Y22" si="10">E22+1</f>
        <v>3</v>
      </c>
      <c r="G22" s="26">
        <f t="shared" si="10"/>
        <v>4</v>
      </c>
      <c r="H22" s="26">
        <f t="shared" si="10"/>
        <v>5</v>
      </c>
      <c r="I22" s="26">
        <f t="shared" si="10"/>
        <v>6</v>
      </c>
      <c r="J22" s="26">
        <f t="shared" si="10"/>
        <v>7</v>
      </c>
      <c r="K22" s="26">
        <f t="shared" si="10"/>
        <v>8</v>
      </c>
      <c r="L22" s="26">
        <f t="shared" si="10"/>
        <v>9</v>
      </c>
      <c r="M22" s="26">
        <f t="shared" si="10"/>
        <v>10</v>
      </c>
      <c r="N22" s="26">
        <f t="shared" si="10"/>
        <v>11</v>
      </c>
      <c r="O22" s="26">
        <f t="shared" si="10"/>
        <v>12</v>
      </c>
      <c r="P22" s="26">
        <f t="shared" si="10"/>
        <v>13</v>
      </c>
      <c r="Q22" s="26">
        <f t="shared" si="10"/>
        <v>14</v>
      </c>
      <c r="R22" s="26">
        <f t="shared" si="10"/>
        <v>15</v>
      </c>
      <c r="S22" s="26">
        <f t="shared" si="10"/>
        <v>16</v>
      </c>
      <c r="T22" s="26">
        <f t="shared" si="10"/>
        <v>17</v>
      </c>
      <c r="U22" s="26">
        <f t="shared" si="10"/>
        <v>18</v>
      </c>
      <c r="V22" s="26">
        <f t="shared" si="10"/>
        <v>19</v>
      </c>
      <c r="W22" s="26">
        <f t="shared" si="10"/>
        <v>20</v>
      </c>
      <c r="X22" s="26">
        <f t="shared" si="10"/>
        <v>21</v>
      </c>
      <c r="Y22" s="27">
        <f t="shared" si="10"/>
        <v>22</v>
      </c>
      <c r="Z22" s="24"/>
      <c r="AA22" s="24"/>
      <c r="AB22"/>
    </row>
    <row r="23" spans="1:28" s="10" customFormat="1" x14ac:dyDescent="0.2">
      <c r="C23" s="13" t="s">
        <v>6</v>
      </c>
      <c r="D23" s="15">
        <f>COMBIN($C$22,D22)/COMBIN($C$1,D22)</f>
        <v>0.83333333333333337</v>
      </c>
      <c r="E23" s="15">
        <f>COMBIN($C$22,E22)/COMBIN($C$1,E22)</f>
        <v>0.68840579710144922</v>
      </c>
      <c r="F23" s="15">
        <f>COMBIN($C$22,F22)/COMBIN($C$1,F22)</f>
        <v>0.56324110671936756</v>
      </c>
      <c r="G23" s="15">
        <f>COMBIN($C$22,G22)/COMBIN($C$1,G22)</f>
        <v>0.45595708639186899</v>
      </c>
      <c r="H23" s="15">
        <f>COMBIN($C$22,H22)/COMBIN($C$1,H22)</f>
        <v>0.36476566911349523</v>
      </c>
      <c r="I23" s="15">
        <f>COMBIN($C$22,I22)/COMBIN($C$1,I22)</f>
        <v>0.28797289666854881</v>
      </c>
      <c r="J23" s="15">
        <f>COMBIN($C$22,J22)/COMBIN($C$1,J22)</f>
        <v>0.22397891963109354</v>
      </c>
      <c r="K23" s="15">
        <f>COMBIN($C$22,K22)/COMBIN($C$1,K22)</f>
        <v>0.17127799736495392</v>
      </c>
      <c r="L23" s="15">
        <f>COMBIN($C$22,L22)/COMBIN($C$1,L22)</f>
        <v>0.12845849802371542</v>
      </c>
      <c r="M23" s="15">
        <f>COMBIN($C$22,M22)/COMBIN($C$1,M22)</f>
        <v>9.420289855072464E-2</v>
      </c>
      <c r="N23" s="15">
        <f>COMBIN($C$22,N22)/COMBIN($C$1,N22)</f>
        <v>6.7287784679089011E-2</v>
      </c>
      <c r="O23" s="15">
        <f>COMBIN($C$22,O22)/COMBIN($C$1,O22)</f>
        <v>4.6583850931677009E-2</v>
      </c>
      <c r="P23" s="15">
        <f>COMBIN($C$22,P22)/COMBIN($C$1,P22)</f>
        <v>3.1055900621118005E-2</v>
      </c>
      <c r="Q23" s="15">
        <f>COMBIN($C$22,Q22)/COMBIN($C$1,Q22)</f>
        <v>1.9762845849802372E-2</v>
      </c>
      <c r="R23" s="15">
        <f>COMBIN($C$22,R22)/COMBIN($C$1,R22)</f>
        <v>1.1857707509881422E-2</v>
      </c>
      <c r="S23" s="15">
        <f>COMBIN($C$22,S22)/COMBIN($C$1,S22)</f>
        <v>6.587615283267457E-3</v>
      </c>
      <c r="T23" s="15">
        <f>COMBIN($C$22,T22)/COMBIN($C$1,T22)</f>
        <v>3.2938076416337285E-3</v>
      </c>
      <c r="U23" s="15">
        <f>COMBIN($C$22,U22)/COMBIN($C$1,U22)</f>
        <v>1.4116318464144548E-3</v>
      </c>
      <c r="V23" s="15">
        <f>COMBIN($C$22,V22)/COMBIN($C$1,V22)</f>
        <v>4.7054394880481843E-4</v>
      </c>
      <c r="W23" s="15">
        <f>COMBIN($C$22,W22)/COMBIN($C$1,W22)</f>
        <v>9.4108789760963672E-5</v>
      </c>
      <c r="X23" s="15"/>
      <c r="Y23" s="28"/>
      <c r="Z23" s="24"/>
      <c r="AA23" s="24"/>
      <c r="AB23"/>
    </row>
    <row r="24" spans="1:28" s="10" customFormat="1" x14ac:dyDescent="0.2">
      <c r="C24" s="17" t="s">
        <v>7</v>
      </c>
      <c r="D24" s="18">
        <f>1/D23</f>
        <v>1.2</v>
      </c>
      <c r="E24" s="19">
        <f t="shared" ref="E24:W24" si="11">1/E23</f>
        <v>1.4526315789473685</v>
      </c>
      <c r="F24" s="19">
        <f t="shared" si="11"/>
        <v>1.7754385964912283</v>
      </c>
      <c r="G24" s="19">
        <f t="shared" si="11"/>
        <v>2.193188854489164</v>
      </c>
      <c r="H24" s="19">
        <f t="shared" si="11"/>
        <v>2.7414860681114548</v>
      </c>
      <c r="I24" s="19">
        <f t="shared" si="11"/>
        <v>3.4725490196078437</v>
      </c>
      <c r="J24" s="19">
        <f t="shared" si="11"/>
        <v>4.4647058823529413</v>
      </c>
      <c r="K24" s="19">
        <f t="shared" si="11"/>
        <v>5.8384615384615373</v>
      </c>
      <c r="L24" s="19">
        <f t="shared" si="11"/>
        <v>7.7846153846153845</v>
      </c>
      <c r="M24" s="19">
        <f t="shared" si="11"/>
        <v>10.615384615384615</v>
      </c>
      <c r="N24" s="19">
        <f t="shared" si="11"/>
        <v>14.861538461538466</v>
      </c>
      <c r="O24" s="19">
        <f t="shared" si="11"/>
        <v>21.466666666666672</v>
      </c>
      <c r="P24" s="19">
        <f t="shared" si="11"/>
        <v>32.20000000000001</v>
      </c>
      <c r="Q24" s="19">
        <f t="shared" si="11"/>
        <v>50.6</v>
      </c>
      <c r="R24" s="19">
        <f t="shared" si="11"/>
        <v>84.333333333333343</v>
      </c>
      <c r="S24" s="19">
        <f t="shared" si="11"/>
        <v>151.80000000000001</v>
      </c>
      <c r="T24" s="19">
        <f t="shared" si="11"/>
        <v>303.60000000000002</v>
      </c>
      <c r="U24" s="19">
        <f t="shared" si="11"/>
        <v>708.4000000000002</v>
      </c>
      <c r="V24" s="19">
        <f t="shared" si="11"/>
        <v>2125.1999999999998</v>
      </c>
      <c r="W24" s="19">
        <f t="shared" si="11"/>
        <v>10626</v>
      </c>
      <c r="X24" s="19"/>
      <c r="Y24" s="29"/>
      <c r="Z24" s="24"/>
      <c r="AA24" s="24"/>
      <c r="AB24"/>
    </row>
    <row r="25" spans="1:28" s="10" customFormat="1" ht="16" thickBot="1" x14ac:dyDescent="0.25">
      <c r="C25" s="20" t="s">
        <v>8</v>
      </c>
      <c r="D25" s="30">
        <f>$F$1*D24</f>
        <v>1.1399999999999999</v>
      </c>
      <c r="E25" s="31">
        <f t="shared" ref="E25:W25" si="12">$F$1*E24</f>
        <v>1.3800000000000001</v>
      </c>
      <c r="F25" s="31">
        <f t="shared" si="12"/>
        <v>1.6866666666666668</v>
      </c>
      <c r="G25" s="31">
        <f t="shared" si="12"/>
        <v>2.0835294117647059</v>
      </c>
      <c r="H25" s="31">
        <f t="shared" si="12"/>
        <v>2.604411764705882</v>
      </c>
      <c r="I25" s="31">
        <f t="shared" si="12"/>
        <v>3.2989215686274513</v>
      </c>
      <c r="J25" s="31">
        <f t="shared" si="12"/>
        <v>4.2414705882352939</v>
      </c>
      <c r="K25" s="31">
        <f t="shared" si="12"/>
        <v>5.5465384615384599</v>
      </c>
      <c r="L25" s="31">
        <f t="shared" si="12"/>
        <v>7.3953846153846152</v>
      </c>
      <c r="M25" s="31">
        <f t="shared" si="12"/>
        <v>10.084615384615384</v>
      </c>
      <c r="N25" s="31">
        <f t="shared" si="12"/>
        <v>14.118461538461542</v>
      </c>
      <c r="O25" s="31">
        <f t="shared" si="12"/>
        <v>20.393333333333338</v>
      </c>
      <c r="P25" s="31">
        <f t="shared" si="12"/>
        <v>30.590000000000007</v>
      </c>
      <c r="Q25" s="31">
        <f t="shared" si="12"/>
        <v>48.07</v>
      </c>
      <c r="R25" s="31">
        <f t="shared" si="12"/>
        <v>80.116666666666674</v>
      </c>
      <c r="S25" s="31">
        <f t="shared" si="12"/>
        <v>144.21</v>
      </c>
      <c r="T25" s="31">
        <f t="shared" si="12"/>
        <v>288.42</v>
      </c>
      <c r="U25" s="31">
        <f t="shared" si="12"/>
        <v>672.98000000000013</v>
      </c>
      <c r="V25" s="31">
        <f t="shared" si="12"/>
        <v>2018.9399999999998</v>
      </c>
      <c r="W25" s="31">
        <f t="shared" si="12"/>
        <v>10094.699999999999</v>
      </c>
      <c r="X25" s="31"/>
      <c r="Y25" s="32"/>
      <c r="Z25" s="24"/>
      <c r="AA25" s="24"/>
      <c r="AB25"/>
    </row>
    <row r="26" spans="1:28" ht="16" thickBot="1" x14ac:dyDescent="0.25"/>
    <row r="27" spans="1:28" s="10" customFormat="1" ht="16" thickBot="1" x14ac:dyDescent="0.25">
      <c r="A27" s="5" t="s">
        <v>12</v>
      </c>
      <c r="B27" s="6" t="s">
        <v>3</v>
      </c>
      <c r="C27" s="7" t="s">
        <v>4</v>
      </c>
      <c r="D27" s="51" t="s">
        <v>5</v>
      </c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3"/>
      <c r="Y27"/>
      <c r="Z27"/>
      <c r="AA27"/>
      <c r="AB27"/>
    </row>
    <row r="28" spans="1:28" s="10" customFormat="1" ht="16" thickBot="1" x14ac:dyDescent="0.25">
      <c r="A28" s="11"/>
      <c r="B28" s="7">
        <v>5</v>
      </c>
      <c r="C28" s="12">
        <f>$C$1-B28</f>
        <v>19</v>
      </c>
      <c r="D28" s="6">
        <v>1</v>
      </c>
      <c r="E28" s="8">
        <f>D28+1</f>
        <v>2</v>
      </c>
      <c r="F28" s="8">
        <f t="shared" ref="F28:X28" si="13">E28+1</f>
        <v>3</v>
      </c>
      <c r="G28" s="8">
        <f t="shared" si="13"/>
        <v>4</v>
      </c>
      <c r="H28" s="8">
        <f t="shared" si="13"/>
        <v>5</v>
      </c>
      <c r="I28" s="8">
        <f t="shared" si="13"/>
        <v>6</v>
      </c>
      <c r="J28" s="8">
        <f t="shared" si="13"/>
        <v>7</v>
      </c>
      <c r="K28" s="8">
        <f t="shared" si="13"/>
        <v>8</v>
      </c>
      <c r="L28" s="8">
        <f t="shared" si="13"/>
        <v>9</v>
      </c>
      <c r="M28" s="8">
        <f t="shared" si="13"/>
        <v>10</v>
      </c>
      <c r="N28" s="8">
        <f t="shared" si="13"/>
        <v>11</v>
      </c>
      <c r="O28" s="8">
        <f t="shared" si="13"/>
        <v>12</v>
      </c>
      <c r="P28" s="8">
        <f t="shared" si="13"/>
        <v>13</v>
      </c>
      <c r="Q28" s="8">
        <f t="shared" si="13"/>
        <v>14</v>
      </c>
      <c r="R28" s="8">
        <f t="shared" si="13"/>
        <v>15</v>
      </c>
      <c r="S28" s="8">
        <f t="shared" si="13"/>
        <v>16</v>
      </c>
      <c r="T28" s="8">
        <f t="shared" si="13"/>
        <v>17</v>
      </c>
      <c r="U28" s="8">
        <f t="shared" si="13"/>
        <v>18</v>
      </c>
      <c r="V28" s="8">
        <f t="shared" si="13"/>
        <v>19</v>
      </c>
      <c r="W28" s="8">
        <f t="shared" si="13"/>
        <v>20</v>
      </c>
      <c r="X28" s="9">
        <f t="shared" si="13"/>
        <v>21</v>
      </c>
      <c r="Y28"/>
      <c r="Z28"/>
      <c r="AA28"/>
      <c r="AB28"/>
    </row>
    <row r="29" spans="1:28" s="10" customFormat="1" x14ac:dyDescent="0.2">
      <c r="C29" s="13" t="s">
        <v>6</v>
      </c>
      <c r="D29" s="33">
        <f>COMBIN($C$28,D28)/COMBIN($C$1,D28)</f>
        <v>0.79166666666666663</v>
      </c>
      <c r="E29" s="15">
        <f>COMBIN($C$28,E28)/COMBIN($C$1,E28)</f>
        <v>0.61956521739130432</v>
      </c>
      <c r="F29" s="15">
        <f>COMBIN($C$28,F28)/COMBIN($C$1,F28)</f>
        <v>0.47875494071146241</v>
      </c>
      <c r="G29" s="15">
        <f>COMBIN($C$28,G28)/COMBIN($C$1,G28)</f>
        <v>0.36476566911349523</v>
      </c>
      <c r="H29" s="15">
        <f>COMBIN($C$28,H28)/COMBIN($C$1,H28)</f>
        <v>0.27357425183512146</v>
      </c>
      <c r="I29" s="15">
        <f>COMBIN($C$28,I28)/COMBIN($C$1,I28)</f>
        <v>0.20158102766798414</v>
      </c>
      <c r="J29" s="15">
        <f>COMBIN($C$28,J28)/COMBIN($C$1,J28)</f>
        <v>0.14558629776021081</v>
      </c>
      <c r="K29" s="15">
        <f>COMBIN($C$28,K28)/COMBIN($C$1,K28)</f>
        <v>0.10276679841897231</v>
      </c>
      <c r="L29" s="15">
        <f>COMBIN($C$28,L28)/COMBIN($C$1,L28)</f>
        <v>7.0652173913043473E-2</v>
      </c>
      <c r="M29" s="15">
        <f>COMBIN($C$28,M28)/COMBIN($C$1,M28)</f>
        <v>4.710144927536232E-2</v>
      </c>
      <c r="N29" s="15">
        <f>COMBIN($C$28,N28)/COMBIN($C$1,N28)</f>
        <v>3.027950310559005E-2</v>
      </c>
      <c r="O29" s="15">
        <f>COMBIN($C$28,O28)/COMBIN($C$1,O28)</f>
        <v>1.8633540372670804E-2</v>
      </c>
      <c r="P29" s="15">
        <f>COMBIN($C$28,P28)/COMBIN($C$1,P28)</f>
        <v>1.0869565217391302E-2</v>
      </c>
      <c r="Q29" s="15">
        <f>COMBIN($C$28,Q28)/COMBIN($C$1,Q28)</f>
        <v>5.9288537549407111E-3</v>
      </c>
      <c r="R29" s="15">
        <f>COMBIN($C$28,R28)/COMBIN($C$1,R28)</f>
        <v>2.9644268774703555E-3</v>
      </c>
      <c r="S29" s="15">
        <f>COMBIN($C$28,S28)/COMBIN($C$1,S28)</f>
        <v>1.3175230566534915E-3</v>
      </c>
      <c r="T29" s="15">
        <f>COMBIN($C$28,T28)/COMBIN($C$1,T28)</f>
        <v>4.9407114624505926E-4</v>
      </c>
      <c r="U29" s="15">
        <f>COMBIN($C$28,U28)/COMBIN($C$1,U28)</f>
        <v>1.4116318464144547E-4</v>
      </c>
      <c r="V29" s="15">
        <f>COMBIN($C$28,V28)/COMBIN($C$1,V28)</f>
        <v>2.3527197440240921E-5</v>
      </c>
      <c r="W29" s="34"/>
      <c r="X29" s="28"/>
      <c r="Y29"/>
      <c r="Z29"/>
      <c r="AA29"/>
      <c r="AB29"/>
    </row>
    <row r="30" spans="1:28" s="10" customFormat="1" x14ac:dyDescent="0.2">
      <c r="C30" s="17" t="s">
        <v>7</v>
      </c>
      <c r="D30" s="35">
        <f>1/D29</f>
        <v>1.2631578947368423</v>
      </c>
      <c r="E30" s="19">
        <f t="shared" ref="E30:V30" si="14">1/E29</f>
        <v>1.6140350877192984</v>
      </c>
      <c r="F30" s="19">
        <f t="shared" si="14"/>
        <v>2.0887512899896801</v>
      </c>
      <c r="G30" s="19">
        <f t="shared" si="14"/>
        <v>2.7414860681114548</v>
      </c>
      <c r="H30" s="19">
        <f t="shared" si="14"/>
        <v>3.6553147574819391</v>
      </c>
      <c r="I30" s="19">
        <f t="shared" si="14"/>
        <v>4.9607843137254912</v>
      </c>
      <c r="J30" s="19">
        <f t="shared" si="14"/>
        <v>6.868778280542986</v>
      </c>
      <c r="K30" s="19">
        <f t="shared" si="14"/>
        <v>9.7307692307692335</v>
      </c>
      <c r="L30" s="19">
        <f t="shared" si="14"/>
        <v>14.153846153846155</v>
      </c>
      <c r="M30" s="19">
        <f t="shared" si="14"/>
        <v>21.23076923076923</v>
      </c>
      <c r="N30" s="19">
        <f t="shared" si="14"/>
        <v>33.025641025641036</v>
      </c>
      <c r="O30" s="19">
        <f t="shared" si="14"/>
        <v>53.666666666666679</v>
      </c>
      <c r="P30" s="19">
        <f t="shared" si="14"/>
        <v>92.000000000000014</v>
      </c>
      <c r="Q30" s="19">
        <f t="shared" si="14"/>
        <v>168.66666666666669</v>
      </c>
      <c r="R30" s="19">
        <f t="shared" si="14"/>
        <v>337.33333333333337</v>
      </c>
      <c r="S30" s="19">
        <f t="shared" si="14"/>
        <v>759</v>
      </c>
      <c r="T30" s="19">
        <f t="shared" si="14"/>
        <v>2024.0000000000002</v>
      </c>
      <c r="U30" s="19">
        <f t="shared" si="14"/>
        <v>7084.0000000000018</v>
      </c>
      <c r="V30" s="19">
        <f t="shared" si="14"/>
        <v>42503.999999999993</v>
      </c>
      <c r="W30" s="19"/>
      <c r="X30" s="29"/>
      <c r="Y30"/>
      <c r="Z30"/>
      <c r="AA30"/>
      <c r="AB30"/>
    </row>
    <row r="31" spans="1:28" s="10" customFormat="1" ht="16" thickBot="1" x14ac:dyDescent="0.25">
      <c r="C31" s="20" t="s">
        <v>8</v>
      </c>
      <c r="D31" s="30">
        <f>$F$1*D30</f>
        <v>1.2000000000000002</v>
      </c>
      <c r="E31" s="31">
        <f t="shared" ref="E31:V31" si="15">$F$1*E30</f>
        <v>1.5333333333333334</v>
      </c>
      <c r="F31" s="31">
        <f t="shared" si="15"/>
        <v>1.9843137254901959</v>
      </c>
      <c r="G31" s="31">
        <f t="shared" si="15"/>
        <v>2.604411764705882</v>
      </c>
      <c r="H31" s="31">
        <f t="shared" si="15"/>
        <v>3.4725490196078419</v>
      </c>
      <c r="I31" s="31">
        <f t="shared" si="15"/>
        <v>4.7127450980392167</v>
      </c>
      <c r="J31" s="31">
        <f t="shared" si="15"/>
        <v>6.5253393665158361</v>
      </c>
      <c r="K31" s="31">
        <f t="shared" si="15"/>
        <v>9.2442307692307715</v>
      </c>
      <c r="L31" s="31">
        <f t="shared" si="15"/>
        <v>13.446153846153846</v>
      </c>
      <c r="M31" s="31">
        <f t="shared" si="15"/>
        <v>20.169230769230769</v>
      </c>
      <c r="N31" s="31">
        <f t="shared" si="15"/>
        <v>31.374358974358984</v>
      </c>
      <c r="O31" s="31">
        <f t="shared" si="15"/>
        <v>50.983333333333341</v>
      </c>
      <c r="P31" s="31">
        <f t="shared" si="15"/>
        <v>87.4</v>
      </c>
      <c r="Q31" s="31">
        <f t="shared" si="15"/>
        <v>160.23333333333335</v>
      </c>
      <c r="R31" s="31">
        <f t="shared" si="15"/>
        <v>320.4666666666667</v>
      </c>
      <c r="S31" s="31">
        <f t="shared" si="15"/>
        <v>721.05</v>
      </c>
      <c r="T31" s="31">
        <f t="shared" si="15"/>
        <v>1922.8000000000002</v>
      </c>
      <c r="U31" s="31">
        <f t="shared" si="15"/>
        <v>6729.8000000000011</v>
      </c>
      <c r="V31" s="31">
        <f t="shared" si="15"/>
        <v>40378.799999999988</v>
      </c>
      <c r="W31" s="31"/>
      <c r="X31" s="32"/>
      <c r="Y31"/>
      <c r="Z31"/>
      <c r="AA31"/>
      <c r="AB31"/>
    </row>
    <row r="32" spans="1:28" ht="16" thickBot="1" x14ac:dyDescent="0.25"/>
    <row r="33" spans="1:28" s="10" customFormat="1" ht="16" thickBot="1" x14ac:dyDescent="0.25">
      <c r="A33" s="5" t="s">
        <v>13</v>
      </c>
      <c r="B33" s="6" t="s">
        <v>3</v>
      </c>
      <c r="C33" s="7" t="s">
        <v>4</v>
      </c>
      <c r="D33" s="51" t="s">
        <v>5</v>
      </c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3"/>
      <c r="X33"/>
      <c r="Y33"/>
      <c r="Z33"/>
      <c r="AA33"/>
      <c r="AB33"/>
    </row>
    <row r="34" spans="1:28" s="10" customFormat="1" ht="16" thickBot="1" x14ac:dyDescent="0.25">
      <c r="A34" s="11"/>
      <c r="B34" s="7">
        <v>6</v>
      </c>
      <c r="C34" s="12">
        <f>$C$1-B34</f>
        <v>18</v>
      </c>
      <c r="D34" s="6">
        <v>1</v>
      </c>
      <c r="E34" s="8">
        <f>D34+1</f>
        <v>2</v>
      </c>
      <c r="F34" s="8">
        <f t="shared" ref="F34:W34" si="16">E34+1</f>
        <v>3</v>
      </c>
      <c r="G34" s="8">
        <f t="shared" si="16"/>
        <v>4</v>
      </c>
      <c r="H34" s="8">
        <f t="shared" si="16"/>
        <v>5</v>
      </c>
      <c r="I34" s="8">
        <f t="shared" si="16"/>
        <v>6</v>
      </c>
      <c r="J34" s="8">
        <f t="shared" si="16"/>
        <v>7</v>
      </c>
      <c r="K34" s="8">
        <f t="shared" si="16"/>
        <v>8</v>
      </c>
      <c r="L34" s="8">
        <f t="shared" si="16"/>
        <v>9</v>
      </c>
      <c r="M34" s="8">
        <f t="shared" si="16"/>
        <v>10</v>
      </c>
      <c r="N34" s="8">
        <f t="shared" si="16"/>
        <v>11</v>
      </c>
      <c r="O34" s="8">
        <f t="shared" si="16"/>
        <v>12</v>
      </c>
      <c r="P34" s="8">
        <f t="shared" si="16"/>
        <v>13</v>
      </c>
      <c r="Q34" s="8">
        <f t="shared" si="16"/>
        <v>14</v>
      </c>
      <c r="R34" s="8">
        <f t="shared" si="16"/>
        <v>15</v>
      </c>
      <c r="S34" s="8">
        <f t="shared" si="16"/>
        <v>16</v>
      </c>
      <c r="T34" s="8">
        <f t="shared" si="16"/>
        <v>17</v>
      </c>
      <c r="U34" s="8">
        <f t="shared" si="16"/>
        <v>18</v>
      </c>
      <c r="V34" s="8">
        <f t="shared" si="16"/>
        <v>19</v>
      </c>
      <c r="W34" s="9">
        <f t="shared" si="16"/>
        <v>20</v>
      </c>
      <c r="X34"/>
      <c r="Y34"/>
      <c r="Z34"/>
      <c r="AA34"/>
      <c r="AB34"/>
    </row>
    <row r="35" spans="1:28" s="10" customFormat="1" x14ac:dyDescent="0.2">
      <c r="C35" s="13" t="s">
        <v>6</v>
      </c>
      <c r="D35" s="5">
        <f>COMBIN($C$34,D34)/COMBIN($C$1,D34)</f>
        <v>0.75</v>
      </c>
      <c r="E35" s="36">
        <f>COMBIN($C$34,E34)/COMBIN($C$1,E34)</f>
        <v>0.55434782608695654</v>
      </c>
      <c r="F35" s="36">
        <f>COMBIN($C$34,F34)/COMBIN($C$1,F34)</f>
        <v>0.40316205533596833</v>
      </c>
      <c r="G35" s="36">
        <f>COMBIN($C$34,G34)/COMBIN($C$1,G34)</f>
        <v>0.28797289666854886</v>
      </c>
      <c r="H35" s="36">
        <f>COMBIN($C$34,H34)/COMBIN($C$1,H34)</f>
        <v>0.20158102766798422</v>
      </c>
      <c r="I35" s="36">
        <f>COMBIN($C$34,I34)/COMBIN($C$1,I34)</f>
        <v>0.13792386103598919</v>
      </c>
      <c r="J35" s="36">
        <f>COMBIN($C$34,J34)/COMBIN($C$1,J34)</f>
        <v>9.1949240690659448E-2</v>
      </c>
      <c r="K35" s="36">
        <f>COMBIN($C$34,K34)/COMBIN($C$1,K34)</f>
        <v>5.9496567505720827E-2</v>
      </c>
      <c r="L35" s="36">
        <f>COMBIN($C$34,L34)/COMBIN($C$1,L34)</f>
        <v>3.7185354691075506E-2</v>
      </c>
      <c r="M35" s="36">
        <f>COMBIN($C$34,M34)/COMBIN($C$1,M34)</f>
        <v>2.231121281464531E-2</v>
      </c>
      <c r="N35" s="36">
        <f>COMBIN($C$34,N34)/COMBIN($C$1,N34)</f>
        <v>1.2749264465511601E-2</v>
      </c>
      <c r="O35" s="36">
        <f>COMBIN($C$34,O34)/COMBIN($C$1,O34)</f>
        <v>6.8649885583524015E-3</v>
      </c>
      <c r="P35" s="36">
        <f>COMBIN($C$34,P34)/COMBIN($C$1,P34)</f>
        <v>3.4324942791762007E-3</v>
      </c>
      <c r="Q35" s="36">
        <f>COMBIN($C$34,Q34)/COMBIN($C$1,Q34)</f>
        <v>1.5602246723528188E-3</v>
      </c>
      <c r="R35" s="36">
        <f>COMBIN($C$34,R34)/COMBIN($C$1,R34)</f>
        <v>6.2408986894112747E-4</v>
      </c>
      <c r="S35" s="36">
        <f>COMBIN($C$34,S34)/COMBIN($C$1,S34)</f>
        <v>2.0802995631370917E-4</v>
      </c>
      <c r="T35" s="36">
        <f>COMBIN($C$34,T34)/COMBIN($C$1,T34)</f>
        <v>5.2007489078427292E-5</v>
      </c>
      <c r="U35" s="36">
        <f>COMBIN($C$34,U34)/COMBIN($C$1,U34)</f>
        <v>7.4296412969181836E-6</v>
      </c>
      <c r="V35" s="36"/>
      <c r="W35" s="16"/>
      <c r="X35"/>
      <c r="Y35"/>
      <c r="Z35"/>
      <c r="AA35"/>
      <c r="AB35"/>
    </row>
    <row r="36" spans="1:28" s="10" customFormat="1" x14ac:dyDescent="0.2">
      <c r="C36" s="17" t="s">
        <v>7</v>
      </c>
      <c r="D36" s="37">
        <f>1/D35</f>
        <v>1.3333333333333333</v>
      </c>
      <c r="E36" s="10">
        <f t="shared" ref="E36:U36" si="17">1/E35</f>
        <v>1.803921568627451</v>
      </c>
      <c r="F36" s="10">
        <f t="shared" si="17"/>
        <v>2.4803921568627456</v>
      </c>
      <c r="G36" s="10">
        <f t="shared" si="17"/>
        <v>3.4725490196078428</v>
      </c>
      <c r="H36" s="10">
        <f t="shared" si="17"/>
        <v>4.9607843137254894</v>
      </c>
      <c r="I36" s="10">
        <f t="shared" si="17"/>
        <v>7.2503770739064848</v>
      </c>
      <c r="J36" s="10">
        <f t="shared" si="17"/>
        <v>10.875565610859729</v>
      </c>
      <c r="K36" s="10">
        <f t="shared" si="17"/>
        <v>16.807692307692307</v>
      </c>
      <c r="L36" s="10">
        <f t="shared" si="17"/>
        <v>26.8923076923077</v>
      </c>
      <c r="M36" s="10">
        <f t="shared" si="17"/>
        <v>44.820512820512818</v>
      </c>
      <c r="N36" s="10">
        <f t="shared" si="17"/>
        <v>78.435897435897459</v>
      </c>
      <c r="O36" s="10">
        <f t="shared" si="17"/>
        <v>145.66666666666669</v>
      </c>
      <c r="P36" s="10">
        <f t="shared" si="17"/>
        <v>291.33333333333337</v>
      </c>
      <c r="Q36" s="10">
        <f t="shared" si="17"/>
        <v>640.93333333333328</v>
      </c>
      <c r="R36" s="10">
        <f t="shared" si="17"/>
        <v>1602.3333333333335</v>
      </c>
      <c r="S36" s="10">
        <f t="shared" si="17"/>
        <v>4807</v>
      </c>
      <c r="T36" s="10">
        <f t="shared" si="17"/>
        <v>19228</v>
      </c>
      <c r="U36" s="10">
        <f t="shared" si="17"/>
        <v>134596.00000000003</v>
      </c>
      <c r="W36" s="12"/>
      <c r="X36"/>
      <c r="Y36"/>
      <c r="Z36"/>
      <c r="AA36"/>
      <c r="AB36"/>
    </row>
    <row r="37" spans="1:28" s="10" customFormat="1" ht="16" thickBot="1" x14ac:dyDescent="0.25">
      <c r="C37" s="20" t="s">
        <v>8</v>
      </c>
      <c r="D37" s="11">
        <f>$F$1*D36</f>
        <v>1.2666666666666666</v>
      </c>
      <c r="E37" s="38">
        <f t="shared" ref="E37:U37" si="18">$F$1*E36</f>
        <v>1.7137254901960783</v>
      </c>
      <c r="F37" s="38">
        <f t="shared" si="18"/>
        <v>2.3563725490196084</v>
      </c>
      <c r="G37" s="38">
        <f t="shared" si="18"/>
        <v>3.2989215686274505</v>
      </c>
      <c r="H37" s="38">
        <f t="shared" si="18"/>
        <v>4.7127450980392149</v>
      </c>
      <c r="I37" s="38">
        <f t="shared" si="18"/>
        <v>6.88785822021116</v>
      </c>
      <c r="J37" s="38">
        <f t="shared" si="18"/>
        <v>10.331787330316741</v>
      </c>
      <c r="K37" s="38">
        <f t="shared" si="18"/>
        <v>15.96730769230769</v>
      </c>
      <c r="L37" s="38">
        <f t="shared" si="18"/>
        <v>25.547692307692312</v>
      </c>
      <c r="M37" s="38">
        <f t="shared" si="18"/>
        <v>42.579487179487174</v>
      </c>
      <c r="N37" s="38">
        <f t="shared" si="18"/>
        <v>74.514102564102586</v>
      </c>
      <c r="O37" s="38">
        <f t="shared" si="18"/>
        <v>138.38333333333335</v>
      </c>
      <c r="P37" s="38">
        <f t="shared" si="18"/>
        <v>276.76666666666671</v>
      </c>
      <c r="Q37" s="38">
        <f t="shared" si="18"/>
        <v>608.88666666666654</v>
      </c>
      <c r="R37" s="38">
        <f t="shared" si="18"/>
        <v>1522.2166666666667</v>
      </c>
      <c r="S37" s="38">
        <f t="shared" si="18"/>
        <v>4566.6499999999996</v>
      </c>
      <c r="T37" s="38">
        <f t="shared" si="18"/>
        <v>18266.599999999999</v>
      </c>
      <c r="U37" s="38">
        <f t="shared" si="18"/>
        <v>127866.20000000003</v>
      </c>
      <c r="V37" s="38"/>
      <c r="W37" s="23"/>
      <c r="X37"/>
      <c r="Y37"/>
      <c r="Z37"/>
      <c r="AA37"/>
      <c r="AB37"/>
    </row>
    <row r="38" spans="1:28" ht="16" thickBot="1" x14ac:dyDescent="0.25"/>
    <row r="39" spans="1:28" s="10" customFormat="1" ht="16" thickBot="1" x14ac:dyDescent="0.25">
      <c r="A39" s="5" t="s">
        <v>14</v>
      </c>
      <c r="B39" s="6" t="s">
        <v>3</v>
      </c>
      <c r="C39" s="7" t="s">
        <v>4</v>
      </c>
      <c r="D39" s="51" t="s">
        <v>5</v>
      </c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3"/>
      <c r="W39"/>
      <c r="X39"/>
      <c r="Y39"/>
      <c r="Z39"/>
      <c r="AA39"/>
      <c r="AB39"/>
    </row>
    <row r="40" spans="1:28" s="10" customFormat="1" ht="16" thickBot="1" x14ac:dyDescent="0.25">
      <c r="A40" s="11"/>
      <c r="B40" s="7">
        <v>7</v>
      </c>
      <c r="C40" s="12">
        <f>$C$1-B40</f>
        <v>17</v>
      </c>
      <c r="D40" s="6">
        <v>1</v>
      </c>
      <c r="E40" s="8">
        <f>D40+1</f>
        <v>2</v>
      </c>
      <c r="F40" s="8">
        <f t="shared" ref="F40:V40" si="19">E40+1</f>
        <v>3</v>
      </c>
      <c r="G40" s="8">
        <f t="shared" si="19"/>
        <v>4</v>
      </c>
      <c r="H40" s="8">
        <f t="shared" si="19"/>
        <v>5</v>
      </c>
      <c r="I40" s="8">
        <f t="shared" si="19"/>
        <v>6</v>
      </c>
      <c r="J40" s="8">
        <f t="shared" si="19"/>
        <v>7</v>
      </c>
      <c r="K40" s="8">
        <f t="shared" si="19"/>
        <v>8</v>
      </c>
      <c r="L40" s="8">
        <f t="shared" si="19"/>
        <v>9</v>
      </c>
      <c r="M40" s="8">
        <f t="shared" si="19"/>
        <v>10</v>
      </c>
      <c r="N40" s="8">
        <f t="shared" si="19"/>
        <v>11</v>
      </c>
      <c r="O40" s="8">
        <f t="shared" si="19"/>
        <v>12</v>
      </c>
      <c r="P40" s="8">
        <f t="shared" si="19"/>
        <v>13</v>
      </c>
      <c r="Q40" s="8">
        <f t="shared" si="19"/>
        <v>14</v>
      </c>
      <c r="R40" s="8">
        <f t="shared" si="19"/>
        <v>15</v>
      </c>
      <c r="S40" s="8">
        <f t="shared" si="19"/>
        <v>16</v>
      </c>
      <c r="T40" s="8">
        <f t="shared" si="19"/>
        <v>17</v>
      </c>
      <c r="U40" s="8">
        <f t="shared" si="19"/>
        <v>18</v>
      </c>
      <c r="V40" s="9">
        <f t="shared" si="19"/>
        <v>19</v>
      </c>
      <c r="W40"/>
      <c r="X40"/>
      <c r="Y40"/>
      <c r="Z40"/>
      <c r="AA40"/>
      <c r="AB40"/>
    </row>
    <row r="41" spans="1:28" s="10" customFormat="1" x14ac:dyDescent="0.2">
      <c r="C41" s="13" t="s">
        <v>6</v>
      </c>
      <c r="D41" s="5">
        <f>COMBIN($C$40,D40)/COMBIN($C$1,D40)</f>
        <v>0.70833333333333337</v>
      </c>
      <c r="E41" s="34">
        <f>COMBIN($C$40,E40)/COMBIN($C$1,E40)</f>
        <v>0.49275362318840582</v>
      </c>
      <c r="F41" s="34">
        <f>COMBIN($C$40,F40)/COMBIN($C$1,F40)</f>
        <v>0.33596837944664026</v>
      </c>
      <c r="G41" s="34">
        <f>COMBIN($C$40,G40)/COMBIN($C$1,G40)</f>
        <v>0.22397891963109354</v>
      </c>
      <c r="H41" s="34">
        <f>COMBIN($C$40,H40)/COMBIN($C$1,H40)</f>
        <v>0.14558629776021084</v>
      </c>
      <c r="I41" s="34">
        <f>COMBIN($C$40,I40)/COMBIN($C$1,I40)</f>
        <v>9.1949240690659434E-2</v>
      </c>
      <c r="J41" s="34">
        <f>COMBIN($C$40,J40)/COMBIN($C$1,J40)</f>
        <v>5.6191202644291886E-2</v>
      </c>
      <c r="K41" s="34">
        <f>COMBIN($C$40,K40)/COMBIN($C$1,K40)</f>
        <v>3.3053648614289347E-2</v>
      </c>
      <c r="L41" s="34">
        <f>COMBIN($C$40,L40)/COMBIN($C$1,L40)</f>
        <v>1.8592677345537757E-2</v>
      </c>
      <c r="M41" s="34">
        <f>COMBIN($C$40,M40)/COMBIN($C$1,M40)</f>
        <v>9.9160945842868033E-3</v>
      </c>
      <c r="N41" s="34">
        <f>COMBIN($C$40,N40)/COMBIN($C$1,N40)</f>
        <v>4.9580472921434008E-3</v>
      </c>
      <c r="O41" s="34">
        <f>COMBIN($C$40,O40)/COMBIN($C$1,O40)</f>
        <v>2.2883295194508005E-3</v>
      </c>
      <c r="P41" s="34">
        <f>COMBIN($C$40,P40)/COMBIN($C$1,P40)</f>
        <v>9.5347063310450024E-4</v>
      </c>
      <c r="Q41" s="34">
        <f>COMBIN($C$40,Q40)/COMBIN($C$1,Q40)</f>
        <v>3.4671659385618195E-4</v>
      </c>
      <c r="R41" s="34">
        <f>COMBIN($C$40,R40)/COMBIN($C$1,R40)</f>
        <v>1.0401497815685458E-4</v>
      </c>
      <c r="S41" s="34">
        <f>COMBIN($C$40,S40)/COMBIN($C$1,S40)</f>
        <v>2.3114439590412129E-5</v>
      </c>
      <c r="T41" s="34">
        <f>COMBIN($C$40,T40)/COMBIN($C$1,T40)</f>
        <v>2.8893049488015161E-6</v>
      </c>
      <c r="U41" s="34"/>
      <c r="V41" s="39"/>
      <c r="W41"/>
      <c r="X41"/>
      <c r="Y41"/>
      <c r="Z41"/>
      <c r="AA41"/>
      <c r="AB41"/>
    </row>
    <row r="42" spans="1:28" s="10" customFormat="1" x14ac:dyDescent="0.2">
      <c r="C42" s="17" t="s">
        <v>7</v>
      </c>
      <c r="D42" s="40">
        <f>1/D41</f>
        <v>1.4117647058823528</v>
      </c>
      <c r="E42" s="41">
        <f t="shared" ref="E42:T42" si="20">1/E41</f>
        <v>2.0294117647058822</v>
      </c>
      <c r="F42" s="41">
        <f t="shared" si="20"/>
        <v>2.9764705882352946</v>
      </c>
      <c r="G42" s="41">
        <f t="shared" si="20"/>
        <v>4.4647058823529413</v>
      </c>
      <c r="H42" s="41">
        <f t="shared" si="20"/>
        <v>6.8687782805429842</v>
      </c>
      <c r="I42" s="41">
        <f t="shared" si="20"/>
        <v>10.875565610859731</v>
      </c>
      <c r="J42" s="41">
        <f t="shared" si="20"/>
        <v>17.796380090497738</v>
      </c>
      <c r="K42" s="41">
        <f t="shared" si="20"/>
        <v>30.253846153846155</v>
      </c>
      <c r="L42" s="41">
        <f t="shared" si="20"/>
        <v>53.784615384615385</v>
      </c>
      <c r="M42" s="41">
        <f t="shared" si="20"/>
        <v>100.84615384615385</v>
      </c>
      <c r="N42" s="41">
        <f t="shared" si="20"/>
        <v>201.69230769230774</v>
      </c>
      <c r="O42" s="41">
        <f t="shared" si="20"/>
        <v>437.00000000000006</v>
      </c>
      <c r="P42" s="41">
        <f t="shared" si="20"/>
        <v>1048.8000000000002</v>
      </c>
      <c r="Q42" s="41">
        <f t="shared" si="20"/>
        <v>2884.2</v>
      </c>
      <c r="R42" s="41">
        <f t="shared" si="20"/>
        <v>9614</v>
      </c>
      <c r="S42" s="41">
        <f t="shared" si="20"/>
        <v>43263</v>
      </c>
      <c r="T42" s="41">
        <f t="shared" si="20"/>
        <v>346104</v>
      </c>
      <c r="U42" s="41"/>
      <c r="V42" s="42"/>
      <c r="W42"/>
      <c r="X42"/>
      <c r="Y42"/>
      <c r="Z42"/>
      <c r="AA42"/>
      <c r="AB42"/>
    </row>
    <row r="43" spans="1:28" s="10" customFormat="1" ht="16" thickBot="1" x14ac:dyDescent="0.25">
      <c r="C43" s="20" t="s">
        <v>8</v>
      </c>
      <c r="D43" s="11">
        <f>$F$1*D42</f>
        <v>1.3411764705882352</v>
      </c>
      <c r="E43" s="31">
        <f t="shared" ref="E43:T43" si="21">$F$1*E42</f>
        <v>1.927941176470588</v>
      </c>
      <c r="F43" s="31">
        <f t="shared" si="21"/>
        <v>2.8276470588235298</v>
      </c>
      <c r="G43" s="31">
        <f t="shared" si="21"/>
        <v>4.2414705882352939</v>
      </c>
      <c r="H43" s="31">
        <f t="shared" si="21"/>
        <v>6.5253393665158343</v>
      </c>
      <c r="I43" s="31">
        <f t="shared" si="21"/>
        <v>10.331787330316743</v>
      </c>
      <c r="J43" s="31">
        <f t="shared" si="21"/>
        <v>16.90656108597285</v>
      </c>
      <c r="K43" s="31">
        <f t="shared" si="21"/>
        <v>28.741153846153846</v>
      </c>
      <c r="L43" s="31">
        <f t="shared" si="21"/>
        <v>51.095384615384617</v>
      </c>
      <c r="M43" s="31">
        <f t="shared" si="21"/>
        <v>95.803846153846152</v>
      </c>
      <c r="N43" s="31">
        <f t="shared" si="21"/>
        <v>191.60769230769233</v>
      </c>
      <c r="O43" s="31">
        <f t="shared" si="21"/>
        <v>415.15000000000003</v>
      </c>
      <c r="P43" s="31">
        <f t="shared" si="21"/>
        <v>996.36000000000013</v>
      </c>
      <c r="Q43" s="31">
        <f t="shared" si="21"/>
        <v>2739.99</v>
      </c>
      <c r="R43" s="31">
        <f t="shared" si="21"/>
        <v>9133.2999999999993</v>
      </c>
      <c r="S43" s="31">
        <f t="shared" si="21"/>
        <v>41099.85</v>
      </c>
      <c r="T43" s="31">
        <f t="shared" si="21"/>
        <v>328798.8</v>
      </c>
      <c r="U43" s="31"/>
      <c r="V43" s="43"/>
      <c r="W43"/>
      <c r="X43"/>
      <c r="Y43"/>
      <c r="Z43"/>
      <c r="AA43"/>
      <c r="AB43"/>
    </row>
    <row r="44" spans="1:28" ht="16" thickBot="1" x14ac:dyDescent="0.25"/>
    <row r="45" spans="1:28" s="10" customFormat="1" ht="16" thickBot="1" x14ac:dyDescent="0.25">
      <c r="A45" s="5" t="s">
        <v>15</v>
      </c>
      <c r="B45" s="6" t="s">
        <v>3</v>
      </c>
      <c r="C45" s="7" t="s">
        <v>4</v>
      </c>
      <c r="D45" s="51" t="s">
        <v>5</v>
      </c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3"/>
      <c r="V45"/>
      <c r="W45"/>
      <c r="X45"/>
      <c r="Y45"/>
      <c r="Z45"/>
      <c r="AA45"/>
      <c r="AB45"/>
    </row>
    <row r="46" spans="1:28" s="10" customFormat="1" ht="16" thickBot="1" x14ac:dyDescent="0.25">
      <c r="A46" s="11"/>
      <c r="B46" s="7">
        <v>8</v>
      </c>
      <c r="C46" s="12">
        <f>$C$1-B46</f>
        <v>16</v>
      </c>
      <c r="D46" s="6">
        <v>1</v>
      </c>
      <c r="E46" s="8">
        <f>D46+1</f>
        <v>2</v>
      </c>
      <c r="F46" s="8">
        <f t="shared" ref="F46:U46" si="22">E46+1</f>
        <v>3</v>
      </c>
      <c r="G46" s="8">
        <f t="shared" si="22"/>
        <v>4</v>
      </c>
      <c r="H46" s="8">
        <f t="shared" si="22"/>
        <v>5</v>
      </c>
      <c r="I46" s="8">
        <f t="shared" si="22"/>
        <v>6</v>
      </c>
      <c r="J46" s="8">
        <f t="shared" si="22"/>
        <v>7</v>
      </c>
      <c r="K46" s="8">
        <f t="shared" si="22"/>
        <v>8</v>
      </c>
      <c r="L46" s="8">
        <f t="shared" si="22"/>
        <v>9</v>
      </c>
      <c r="M46" s="8">
        <f t="shared" si="22"/>
        <v>10</v>
      </c>
      <c r="N46" s="8">
        <f t="shared" si="22"/>
        <v>11</v>
      </c>
      <c r="O46" s="8">
        <f t="shared" si="22"/>
        <v>12</v>
      </c>
      <c r="P46" s="8">
        <f t="shared" si="22"/>
        <v>13</v>
      </c>
      <c r="Q46" s="8">
        <f t="shared" si="22"/>
        <v>14</v>
      </c>
      <c r="R46" s="8">
        <f t="shared" si="22"/>
        <v>15</v>
      </c>
      <c r="S46" s="8">
        <f t="shared" si="22"/>
        <v>16</v>
      </c>
      <c r="T46" s="8">
        <f t="shared" si="22"/>
        <v>17</v>
      </c>
      <c r="U46" s="9">
        <f t="shared" si="22"/>
        <v>18</v>
      </c>
      <c r="V46"/>
      <c r="W46"/>
      <c r="X46"/>
      <c r="Y46"/>
      <c r="Z46"/>
      <c r="AA46"/>
      <c r="AB46"/>
    </row>
    <row r="47" spans="1:28" s="10" customFormat="1" x14ac:dyDescent="0.2">
      <c r="C47" s="13" t="s">
        <v>6</v>
      </c>
      <c r="D47" s="37">
        <f>COMBIN($C$46,D46)/COMBIN($C$1,D46)</f>
        <v>0.66666666666666663</v>
      </c>
      <c r="E47" s="10">
        <f>COMBIN($C$46,E46)/COMBIN($C$1,E46)</f>
        <v>0.43478260869565216</v>
      </c>
      <c r="F47" s="10">
        <f>COMBIN($C$46,F46)/COMBIN($C$1,F46)</f>
        <v>0.27667984189723316</v>
      </c>
      <c r="G47" s="10">
        <f>COMBIN($C$46,G46)/COMBIN($C$1,G46)</f>
        <v>0.17127799736495392</v>
      </c>
      <c r="H47" s="10">
        <f>COMBIN($C$46,H46)/COMBIN($C$1,H46)</f>
        <v>0.10276679841897235</v>
      </c>
      <c r="I47" s="10">
        <f>COMBIN($C$46,I46)/COMBIN($C$1,I46)</f>
        <v>5.9496567505720813E-2</v>
      </c>
      <c r="J47" s="10">
        <f>COMBIN($C$46,J46)/COMBIN($C$1,J46)</f>
        <v>3.3053648614289347E-2</v>
      </c>
      <c r="K47" s="10">
        <f>COMBIN($C$46,K46)/COMBIN($C$1,K46)</f>
        <v>1.7498990442859064E-2</v>
      </c>
      <c r="L47" s="10">
        <f>COMBIN($C$46,L46)/COMBIN($C$1,L46)</f>
        <v>8.7494952214295322E-3</v>
      </c>
      <c r="M47" s="10">
        <f>COMBIN($C$46,M46)/COMBIN($C$1,M46)</f>
        <v>4.0830977700004488E-3</v>
      </c>
      <c r="N47" s="10">
        <f>COMBIN($C$46,N46)/COMBIN($C$1,N46)</f>
        <v>1.7498990442859062E-3</v>
      </c>
      <c r="O47" s="10">
        <f>COMBIN($C$46,O46)/COMBIN($C$1,O46)</f>
        <v>6.7303809395611778E-4</v>
      </c>
      <c r="P47" s="10">
        <f>COMBIN($C$46,P46)/COMBIN($C$1,P46)</f>
        <v>2.2434603131870593E-4</v>
      </c>
      <c r="Q47" s="10">
        <f>COMBIN($C$46,Q46)/COMBIN($C$1,Q46)</f>
        <v>6.1185281268737987E-5</v>
      </c>
      <c r="R47" s="10">
        <f>COMBIN($C$46,R46)/COMBIN($C$1,R46)</f>
        <v>1.2237056253747598E-5</v>
      </c>
      <c r="S47" s="10">
        <f>COMBIN($C$46,S46)/COMBIN($C$1,S46)</f>
        <v>1.3596729170830664E-6</v>
      </c>
      <c r="U47" s="12"/>
      <c r="V47"/>
      <c r="W47"/>
      <c r="X47"/>
      <c r="Y47"/>
      <c r="Z47"/>
      <c r="AA47"/>
      <c r="AB47"/>
    </row>
    <row r="48" spans="1:28" s="10" customFormat="1" x14ac:dyDescent="0.2">
      <c r="C48" s="17" t="s">
        <v>7</v>
      </c>
      <c r="D48" s="37">
        <f>1/D47</f>
        <v>1.5</v>
      </c>
      <c r="E48" s="10">
        <f t="shared" ref="E48:S48" si="23">1/E47</f>
        <v>2.3000000000000003</v>
      </c>
      <c r="F48" s="10">
        <f t="shared" si="23"/>
        <v>3.6142857142857148</v>
      </c>
      <c r="G48" s="10">
        <f t="shared" si="23"/>
        <v>5.8384615384615373</v>
      </c>
      <c r="H48" s="10">
        <f t="shared" si="23"/>
        <v>9.7307692307692299</v>
      </c>
      <c r="I48" s="10">
        <f t="shared" si="23"/>
        <v>16.80769230769231</v>
      </c>
      <c r="J48" s="10">
        <f t="shared" si="23"/>
        <v>30.253846153846155</v>
      </c>
      <c r="K48" s="10">
        <f t="shared" si="23"/>
        <v>57.146153846153851</v>
      </c>
      <c r="L48" s="10">
        <f t="shared" si="23"/>
        <v>114.2923076923077</v>
      </c>
      <c r="M48" s="10">
        <f t="shared" si="23"/>
        <v>244.91208791208791</v>
      </c>
      <c r="N48" s="10">
        <f t="shared" si="23"/>
        <v>571.46153846153857</v>
      </c>
      <c r="O48" s="10">
        <f t="shared" si="23"/>
        <v>1485.8000000000004</v>
      </c>
      <c r="P48" s="10">
        <f t="shared" si="23"/>
        <v>4457.4000000000005</v>
      </c>
      <c r="Q48" s="10">
        <f t="shared" si="23"/>
        <v>16343.800000000001</v>
      </c>
      <c r="R48" s="10">
        <f t="shared" si="23"/>
        <v>81719</v>
      </c>
      <c r="S48" s="10">
        <f t="shared" si="23"/>
        <v>735471</v>
      </c>
      <c r="U48" s="12"/>
      <c r="V48"/>
      <c r="W48"/>
      <c r="X48"/>
      <c r="Y48"/>
      <c r="Z48"/>
      <c r="AA48"/>
      <c r="AB48"/>
    </row>
    <row r="49" spans="1:28" s="10" customFormat="1" ht="16" thickBot="1" x14ac:dyDescent="0.25">
      <c r="C49" s="20" t="s">
        <v>8</v>
      </c>
      <c r="D49" s="30">
        <f>$F$1*D48</f>
        <v>1.4249999999999998</v>
      </c>
      <c r="E49" s="31">
        <f t="shared" ref="E49:S49" si="24">$F$1*E48</f>
        <v>2.1850000000000001</v>
      </c>
      <c r="F49" s="31">
        <f t="shared" si="24"/>
        <v>3.4335714285714287</v>
      </c>
      <c r="G49" s="31">
        <f t="shared" si="24"/>
        <v>5.5465384615384599</v>
      </c>
      <c r="H49" s="31">
        <f t="shared" si="24"/>
        <v>9.2442307692307679</v>
      </c>
      <c r="I49" s="31">
        <f t="shared" si="24"/>
        <v>15.967307692307694</v>
      </c>
      <c r="J49" s="31">
        <f t="shared" si="24"/>
        <v>28.741153846153846</v>
      </c>
      <c r="K49" s="31">
        <f t="shared" si="24"/>
        <v>54.288846153846158</v>
      </c>
      <c r="L49" s="31">
        <f t="shared" si="24"/>
        <v>108.57769230769232</v>
      </c>
      <c r="M49" s="31">
        <f t="shared" si="24"/>
        <v>232.66648351648351</v>
      </c>
      <c r="N49" s="31">
        <f t="shared" si="24"/>
        <v>542.88846153846157</v>
      </c>
      <c r="O49" s="31">
        <f t="shared" si="24"/>
        <v>1411.5100000000002</v>
      </c>
      <c r="P49" s="31">
        <f t="shared" si="24"/>
        <v>4234.5300000000007</v>
      </c>
      <c r="Q49" s="31">
        <f t="shared" si="24"/>
        <v>15526.61</v>
      </c>
      <c r="R49" s="31">
        <f t="shared" si="24"/>
        <v>77633.05</v>
      </c>
      <c r="S49" s="31">
        <f t="shared" si="24"/>
        <v>698697.45</v>
      </c>
      <c r="T49" s="31"/>
      <c r="U49" s="23"/>
      <c r="V49"/>
      <c r="W49"/>
      <c r="X49"/>
      <c r="Y49"/>
      <c r="Z49"/>
      <c r="AA49"/>
      <c r="AB49"/>
    </row>
    <row r="50" spans="1:28" ht="16" thickBot="1" x14ac:dyDescent="0.25"/>
    <row r="51" spans="1:28" s="10" customFormat="1" ht="16" thickBot="1" x14ac:dyDescent="0.25">
      <c r="A51" s="5" t="s">
        <v>16</v>
      </c>
      <c r="B51" s="6" t="s">
        <v>3</v>
      </c>
      <c r="C51" s="7" t="s">
        <v>4</v>
      </c>
      <c r="D51" s="51" t="s">
        <v>5</v>
      </c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3"/>
      <c r="U51"/>
      <c r="V51"/>
      <c r="W51"/>
      <c r="X51"/>
      <c r="Y51"/>
      <c r="Z51"/>
      <c r="AA51"/>
      <c r="AB51"/>
    </row>
    <row r="52" spans="1:28" s="10" customFormat="1" ht="16" thickBot="1" x14ac:dyDescent="0.25">
      <c r="A52" s="11"/>
      <c r="B52" s="7">
        <v>9</v>
      </c>
      <c r="C52" s="12">
        <f>$C$1-B52</f>
        <v>15</v>
      </c>
      <c r="D52" s="6">
        <v>1</v>
      </c>
      <c r="E52" s="8">
        <f>D52+1</f>
        <v>2</v>
      </c>
      <c r="F52" s="8">
        <f t="shared" ref="F52:T52" si="25">E52+1</f>
        <v>3</v>
      </c>
      <c r="G52" s="8">
        <f t="shared" si="25"/>
        <v>4</v>
      </c>
      <c r="H52" s="8">
        <f t="shared" si="25"/>
        <v>5</v>
      </c>
      <c r="I52" s="8">
        <f t="shared" si="25"/>
        <v>6</v>
      </c>
      <c r="J52" s="8">
        <f t="shared" si="25"/>
        <v>7</v>
      </c>
      <c r="K52" s="8">
        <f t="shared" si="25"/>
        <v>8</v>
      </c>
      <c r="L52" s="8">
        <f t="shared" si="25"/>
        <v>9</v>
      </c>
      <c r="M52" s="8">
        <f t="shared" si="25"/>
        <v>10</v>
      </c>
      <c r="N52" s="8">
        <f t="shared" si="25"/>
        <v>11</v>
      </c>
      <c r="O52" s="8">
        <f t="shared" si="25"/>
        <v>12</v>
      </c>
      <c r="P52" s="8">
        <f t="shared" si="25"/>
        <v>13</v>
      </c>
      <c r="Q52" s="8">
        <f t="shared" si="25"/>
        <v>14</v>
      </c>
      <c r="R52" s="8">
        <f t="shared" si="25"/>
        <v>15</v>
      </c>
      <c r="S52" s="8">
        <f t="shared" si="25"/>
        <v>16</v>
      </c>
      <c r="T52" s="9">
        <f t="shared" si="25"/>
        <v>17</v>
      </c>
      <c r="U52"/>
      <c r="V52"/>
      <c r="W52"/>
      <c r="X52"/>
      <c r="Y52"/>
      <c r="Z52"/>
      <c r="AA52"/>
      <c r="AB52"/>
    </row>
    <row r="53" spans="1:28" s="10" customFormat="1" x14ac:dyDescent="0.2">
      <c r="C53" s="13" t="s">
        <v>6</v>
      </c>
      <c r="D53" s="37">
        <f>COMBIN($C$52,D52)/COMBIN($C$1,D52)</f>
        <v>0.625</v>
      </c>
      <c r="E53" s="36">
        <f>COMBIN($C$52,E52)/COMBIN($C$1,E52)</f>
        <v>0.38043478260869568</v>
      </c>
      <c r="F53" s="36">
        <f>COMBIN($C$52,F52)/COMBIN($C$1,F52)</f>
        <v>0.22480237154150198</v>
      </c>
      <c r="G53" s="36">
        <f>COMBIN($C$52,G52)/COMBIN($C$1,G52)</f>
        <v>0.12845849802371542</v>
      </c>
      <c r="H53" s="36">
        <f>COMBIN($C$52,H52)/COMBIN($C$1,H52)</f>
        <v>7.0652173913043487E-2</v>
      </c>
      <c r="I53" s="36">
        <f>COMBIN($C$52,I52)/COMBIN($C$1,I52)</f>
        <v>3.7185354691075506E-2</v>
      </c>
      <c r="J53" s="36">
        <f>COMBIN($C$52,J52)/COMBIN($C$1,J52)</f>
        <v>1.8592677345537753E-2</v>
      </c>
      <c r="K53" s="36">
        <f>COMBIN($C$52,K52)/COMBIN($C$1,K52)</f>
        <v>8.7494952214295322E-3</v>
      </c>
      <c r="L53" s="36">
        <f>COMBIN($C$52,L52)/COMBIN($C$1,L52)</f>
        <v>3.8279041593754204E-3</v>
      </c>
      <c r="M53" s="36">
        <f>COMBIN($C$52,M52)/COMBIN($C$1,M52)</f>
        <v>1.5311616637501682E-3</v>
      </c>
      <c r="N53" s="36">
        <f>COMBIN($C$52,N52)/COMBIN($C$1,N52)</f>
        <v>5.4684345133934565E-4</v>
      </c>
      <c r="O53" s="36">
        <f>COMBIN($C$52,O52)/COMBIN($C$1,O52)</f>
        <v>1.6825952348902944E-4</v>
      </c>
      <c r="P53" s="36">
        <f>COMBIN($C$52,P52)/COMBIN($C$1,P52)</f>
        <v>4.2064880872257361E-5</v>
      </c>
      <c r="Q53" s="36">
        <f>COMBIN($C$52,Q52)/COMBIN($C$1,Q52)</f>
        <v>7.6481601585922484E-6</v>
      </c>
      <c r="R53" s="36">
        <f>COMBIN($C$52,R52)/COMBIN($C$1,R52)</f>
        <v>7.6481601585922486E-7</v>
      </c>
      <c r="S53" s="36"/>
      <c r="T53" s="16"/>
      <c r="U53"/>
      <c r="V53"/>
      <c r="W53"/>
      <c r="X53"/>
      <c r="Y53"/>
      <c r="Z53"/>
      <c r="AA53"/>
      <c r="AB53"/>
    </row>
    <row r="54" spans="1:28" s="10" customFormat="1" x14ac:dyDescent="0.2">
      <c r="C54" s="17" t="s">
        <v>7</v>
      </c>
      <c r="D54" s="37">
        <f>1/D53</f>
        <v>1.6</v>
      </c>
      <c r="E54" s="10">
        <f t="shared" ref="E54:R54" si="26">1/E53</f>
        <v>2.6285714285714286</v>
      </c>
      <c r="F54" s="10">
        <f t="shared" si="26"/>
        <v>4.4483516483516485</v>
      </c>
      <c r="G54" s="10">
        <f t="shared" si="26"/>
        <v>7.7846153846153845</v>
      </c>
      <c r="H54" s="10">
        <f t="shared" si="26"/>
        <v>14.153846153846152</v>
      </c>
      <c r="I54" s="10">
        <f t="shared" si="26"/>
        <v>26.8923076923077</v>
      </c>
      <c r="J54" s="10">
        <f t="shared" si="26"/>
        <v>53.7846153846154</v>
      </c>
      <c r="K54" s="10">
        <f t="shared" si="26"/>
        <v>114.2923076923077</v>
      </c>
      <c r="L54" s="10">
        <f t="shared" si="26"/>
        <v>261.23956043956048</v>
      </c>
      <c r="M54" s="10">
        <f t="shared" si="26"/>
        <v>653.09890109890114</v>
      </c>
      <c r="N54" s="10">
        <f t="shared" si="26"/>
        <v>1828.6769230769237</v>
      </c>
      <c r="O54" s="10">
        <f t="shared" si="26"/>
        <v>5943.2000000000016</v>
      </c>
      <c r="P54" s="10">
        <f t="shared" si="26"/>
        <v>23772.800000000007</v>
      </c>
      <c r="Q54" s="10">
        <f t="shared" si="26"/>
        <v>130750.40000000001</v>
      </c>
      <c r="R54" s="10">
        <f t="shared" si="26"/>
        <v>1307504</v>
      </c>
      <c r="T54" s="12"/>
      <c r="U54"/>
      <c r="V54"/>
      <c r="W54"/>
      <c r="X54"/>
      <c r="Y54"/>
      <c r="Z54"/>
      <c r="AA54"/>
      <c r="AB54"/>
    </row>
    <row r="55" spans="1:28" s="10" customFormat="1" ht="16" thickBot="1" x14ac:dyDescent="0.25">
      <c r="C55" s="20" t="s">
        <v>8</v>
      </c>
      <c r="D55" s="11">
        <f>$F$1*D54</f>
        <v>1.52</v>
      </c>
      <c r="E55" s="38">
        <f t="shared" ref="E55:R55" si="27">$F$1*E54</f>
        <v>2.4971428571428569</v>
      </c>
      <c r="F55" s="22">
        <f t="shared" si="27"/>
        <v>4.2259340659340658</v>
      </c>
      <c r="G55" s="22">
        <f t="shared" si="27"/>
        <v>7.3953846153846152</v>
      </c>
      <c r="H55" s="22">
        <f t="shared" si="27"/>
        <v>13.446153846153843</v>
      </c>
      <c r="I55" s="22">
        <f t="shared" si="27"/>
        <v>25.547692307692312</v>
      </c>
      <c r="J55" s="22">
        <f t="shared" si="27"/>
        <v>51.095384615384624</v>
      </c>
      <c r="K55" s="22">
        <f t="shared" si="27"/>
        <v>108.57769230769232</v>
      </c>
      <c r="L55" s="22">
        <f t="shared" si="27"/>
        <v>248.17758241758244</v>
      </c>
      <c r="M55" s="22">
        <f t="shared" si="27"/>
        <v>620.44395604395606</v>
      </c>
      <c r="N55" s="22">
        <f t="shared" si="27"/>
        <v>1737.2430769230775</v>
      </c>
      <c r="O55" s="22">
        <f t="shared" si="27"/>
        <v>5646.0400000000009</v>
      </c>
      <c r="P55" s="22">
        <f t="shared" si="27"/>
        <v>22584.160000000003</v>
      </c>
      <c r="Q55" s="22">
        <f t="shared" si="27"/>
        <v>124212.88</v>
      </c>
      <c r="R55" s="22">
        <f t="shared" si="27"/>
        <v>1242128.8</v>
      </c>
      <c r="S55" s="22"/>
      <c r="T55" s="23"/>
      <c r="U55"/>
      <c r="V55"/>
      <c r="W55"/>
      <c r="X55"/>
      <c r="Y55"/>
      <c r="Z55"/>
      <c r="AA55"/>
      <c r="AB55"/>
    </row>
    <row r="56" spans="1:28" ht="16" thickBot="1" x14ac:dyDescent="0.25"/>
    <row r="57" spans="1:28" s="10" customFormat="1" ht="16" thickBot="1" x14ac:dyDescent="0.25">
      <c r="A57" s="5" t="s">
        <v>17</v>
      </c>
      <c r="B57" s="6" t="s">
        <v>3</v>
      </c>
      <c r="C57" s="7" t="s">
        <v>4</v>
      </c>
      <c r="D57" s="51" t="s">
        <v>5</v>
      </c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3"/>
      <c r="T57"/>
      <c r="U57"/>
      <c r="V57"/>
      <c r="W57"/>
      <c r="X57"/>
      <c r="Y57"/>
      <c r="Z57"/>
      <c r="AA57"/>
      <c r="AB57"/>
    </row>
    <row r="58" spans="1:28" s="10" customFormat="1" ht="16" thickBot="1" x14ac:dyDescent="0.25">
      <c r="A58" s="11"/>
      <c r="B58" s="7">
        <v>10</v>
      </c>
      <c r="C58" s="12">
        <f>$C$1-B58</f>
        <v>14</v>
      </c>
      <c r="D58" s="6">
        <v>1</v>
      </c>
      <c r="E58" s="8">
        <f>D58+1</f>
        <v>2</v>
      </c>
      <c r="F58" s="8">
        <f t="shared" ref="F58:S58" si="28">E58+1</f>
        <v>3</v>
      </c>
      <c r="G58" s="8">
        <f t="shared" si="28"/>
        <v>4</v>
      </c>
      <c r="H58" s="8">
        <f t="shared" si="28"/>
        <v>5</v>
      </c>
      <c r="I58" s="8">
        <f t="shared" si="28"/>
        <v>6</v>
      </c>
      <c r="J58" s="8">
        <f t="shared" si="28"/>
        <v>7</v>
      </c>
      <c r="K58" s="8">
        <f t="shared" si="28"/>
        <v>8</v>
      </c>
      <c r="L58" s="8">
        <f t="shared" si="28"/>
        <v>9</v>
      </c>
      <c r="M58" s="8">
        <f t="shared" si="28"/>
        <v>10</v>
      </c>
      <c r="N58" s="8">
        <f t="shared" si="28"/>
        <v>11</v>
      </c>
      <c r="O58" s="8">
        <f t="shared" si="28"/>
        <v>12</v>
      </c>
      <c r="P58" s="8">
        <f t="shared" si="28"/>
        <v>13</v>
      </c>
      <c r="Q58" s="8">
        <f t="shared" si="28"/>
        <v>14</v>
      </c>
      <c r="R58" s="8">
        <f t="shared" si="28"/>
        <v>15</v>
      </c>
      <c r="S58" s="9">
        <f t="shared" si="28"/>
        <v>16</v>
      </c>
      <c r="T58"/>
      <c r="U58"/>
      <c r="V58"/>
      <c r="W58"/>
      <c r="X58"/>
      <c r="Y58"/>
      <c r="Z58"/>
      <c r="AA58"/>
      <c r="AB58"/>
    </row>
    <row r="59" spans="1:28" s="10" customFormat="1" x14ac:dyDescent="0.2">
      <c r="C59" s="13" t="s">
        <v>6</v>
      </c>
      <c r="D59" s="5">
        <f>COMBIN($C$58,D58)/COMBIN($C$1,D58)</f>
        <v>0.58333333333333337</v>
      </c>
      <c r="E59" s="36">
        <f>COMBIN($C$58,E58)/COMBIN($C$1,E58)</f>
        <v>0.32971014492753625</v>
      </c>
      <c r="F59" s="36">
        <f>COMBIN($C$58,F58)/COMBIN($C$1,F58)</f>
        <v>0.17984189723320157</v>
      </c>
      <c r="G59" s="36">
        <f>COMBIN($C$58,G58)/COMBIN($C$1,G58)</f>
        <v>9.420289855072464E-2</v>
      </c>
      <c r="H59" s="36">
        <f>COMBIN($C$58,H58)/COMBIN($C$1,H58)</f>
        <v>4.7101449275362327E-2</v>
      </c>
      <c r="I59" s="36">
        <f>COMBIN($C$58,I58)/COMBIN($C$1,I58)</f>
        <v>2.23112128146453E-2</v>
      </c>
      <c r="J59" s="36">
        <f>COMBIN($C$58,J58)/COMBIN($C$1,J58)</f>
        <v>9.9160945842868033E-3</v>
      </c>
      <c r="K59" s="36">
        <f>COMBIN($C$58,K58)/COMBIN($C$1,K58)</f>
        <v>4.0830977700004479E-3</v>
      </c>
      <c r="L59" s="36">
        <f>COMBIN($C$58,L58)/COMBIN($C$1,L58)</f>
        <v>1.5311616637501682E-3</v>
      </c>
      <c r="M59" s="36">
        <f>COMBIN($C$58,M58)/COMBIN($C$1,M58)</f>
        <v>5.103872212500561E-4</v>
      </c>
      <c r="N59" s="36">
        <f>COMBIN($C$58,N58)/COMBIN($C$1,N58)</f>
        <v>1.4582492035715886E-4</v>
      </c>
      <c r="O59" s="36">
        <f>COMBIN($C$58,O58)/COMBIN($C$1,O58)</f>
        <v>3.3651904697805888E-5</v>
      </c>
      <c r="P59" s="36">
        <f>COMBIN($C$58,P58)/COMBIN($C$1,P58)</f>
        <v>5.6086507829676485E-6</v>
      </c>
      <c r="Q59" s="36">
        <f>COMBIN($C$58,Q58)/COMBIN($C$1,Q58)</f>
        <v>5.0987734390614998E-7</v>
      </c>
      <c r="R59" s="36"/>
      <c r="S59" s="16"/>
      <c r="T59"/>
      <c r="U59"/>
      <c r="V59"/>
      <c r="W59"/>
      <c r="X59"/>
      <c r="Y59"/>
      <c r="Z59"/>
      <c r="AA59"/>
      <c r="AB59"/>
    </row>
    <row r="60" spans="1:28" s="10" customFormat="1" x14ac:dyDescent="0.2">
      <c r="C60" s="17" t="s">
        <v>7</v>
      </c>
      <c r="D60" s="37">
        <f>1/D59</f>
        <v>1.7142857142857142</v>
      </c>
      <c r="E60" s="10">
        <f t="shared" ref="E60:Q60" si="29">1/E59</f>
        <v>3.0329670329670328</v>
      </c>
      <c r="F60" s="10">
        <f t="shared" si="29"/>
        <v>5.5604395604395611</v>
      </c>
      <c r="G60" s="10">
        <f t="shared" si="29"/>
        <v>10.615384615384615</v>
      </c>
      <c r="H60" s="10">
        <f t="shared" si="29"/>
        <v>21.230769230769226</v>
      </c>
      <c r="I60" s="10">
        <f t="shared" si="29"/>
        <v>44.820512820512839</v>
      </c>
      <c r="J60" s="10">
        <f t="shared" si="29"/>
        <v>100.84615384615385</v>
      </c>
      <c r="K60" s="10">
        <f t="shared" si="29"/>
        <v>244.91208791208797</v>
      </c>
      <c r="L60" s="10">
        <f t="shared" si="29"/>
        <v>653.09890109890114</v>
      </c>
      <c r="M60" s="10">
        <f t="shared" si="29"/>
        <v>1959.2967032967033</v>
      </c>
      <c r="N60" s="10">
        <f t="shared" si="29"/>
        <v>6857.5384615384628</v>
      </c>
      <c r="O60" s="10">
        <f t="shared" si="29"/>
        <v>29716.000000000007</v>
      </c>
      <c r="P60" s="10">
        <f t="shared" si="29"/>
        <v>178296.00000000003</v>
      </c>
      <c r="Q60" s="10">
        <f t="shared" si="29"/>
        <v>1961255.9999999998</v>
      </c>
      <c r="S60" s="12"/>
      <c r="T60"/>
      <c r="U60"/>
      <c r="V60"/>
      <c r="W60"/>
      <c r="X60"/>
      <c r="Y60"/>
      <c r="Z60"/>
      <c r="AA60"/>
      <c r="AB60"/>
    </row>
    <row r="61" spans="1:28" s="10" customFormat="1" ht="16" thickBot="1" x14ac:dyDescent="0.25">
      <c r="C61" s="20" t="s">
        <v>8</v>
      </c>
      <c r="D61" s="11">
        <f>$F$1*D60</f>
        <v>1.6285714285714283</v>
      </c>
      <c r="E61" s="38">
        <f t="shared" ref="E61:Q61" si="30">$F$1*E60</f>
        <v>2.8813186813186809</v>
      </c>
      <c r="F61" s="38">
        <f t="shared" si="30"/>
        <v>5.2824175824175832</v>
      </c>
      <c r="G61" s="38">
        <f t="shared" si="30"/>
        <v>10.084615384615384</v>
      </c>
      <c r="H61" s="38">
        <f t="shared" si="30"/>
        <v>20.169230769230765</v>
      </c>
      <c r="I61" s="38">
        <f t="shared" si="30"/>
        <v>42.579487179487195</v>
      </c>
      <c r="J61" s="38">
        <f t="shared" si="30"/>
        <v>95.803846153846152</v>
      </c>
      <c r="K61" s="38">
        <f t="shared" si="30"/>
        <v>232.66648351648357</v>
      </c>
      <c r="L61" s="38">
        <f t="shared" si="30"/>
        <v>620.44395604395606</v>
      </c>
      <c r="M61" s="38">
        <f t="shared" si="30"/>
        <v>1861.3318681318681</v>
      </c>
      <c r="N61" s="38">
        <f t="shared" si="30"/>
        <v>6514.6615384615397</v>
      </c>
      <c r="O61" s="38">
        <f t="shared" si="30"/>
        <v>28230.200000000004</v>
      </c>
      <c r="P61" s="38">
        <f t="shared" si="30"/>
        <v>169381.2</v>
      </c>
      <c r="Q61" s="38">
        <f t="shared" si="30"/>
        <v>1863193.1999999997</v>
      </c>
      <c r="R61" s="38"/>
      <c r="S61" s="23"/>
      <c r="T61"/>
      <c r="U61"/>
      <c r="V61"/>
      <c r="W61"/>
      <c r="X61"/>
      <c r="Y61"/>
      <c r="Z61"/>
      <c r="AA61"/>
      <c r="AB61"/>
    </row>
    <row r="62" spans="1:28" ht="16" thickBot="1" x14ac:dyDescent="0.25"/>
    <row r="63" spans="1:28" s="10" customFormat="1" ht="16" thickBot="1" x14ac:dyDescent="0.25">
      <c r="A63" s="5" t="s">
        <v>18</v>
      </c>
      <c r="B63" s="6" t="s">
        <v>3</v>
      </c>
      <c r="C63" s="7" t="s">
        <v>4</v>
      </c>
      <c r="D63" s="51" t="s">
        <v>5</v>
      </c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3"/>
      <c r="S63"/>
      <c r="T63"/>
      <c r="U63"/>
      <c r="V63"/>
      <c r="W63"/>
      <c r="X63"/>
      <c r="Y63"/>
      <c r="Z63"/>
      <c r="AA63"/>
      <c r="AB63"/>
    </row>
    <row r="64" spans="1:28" s="10" customFormat="1" ht="16" thickBot="1" x14ac:dyDescent="0.25">
      <c r="A64" s="11"/>
      <c r="B64" s="7">
        <v>11</v>
      </c>
      <c r="C64" s="12">
        <f>$C$1-B64</f>
        <v>13</v>
      </c>
      <c r="D64" s="6">
        <v>1</v>
      </c>
      <c r="E64" s="8">
        <f>D64+1</f>
        <v>2</v>
      </c>
      <c r="F64" s="8">
        <f t="shared" ref="F64:R64" si="31">E64+1</f>
        <v>3</v>
      </c>
      <c r="G64" s="8">
        <f t="shared" si="31"/>
        <v>4</v>
      </c>
      <c r="H64" s="8">
        <f t="shared" si="31"/>
        <v>5</v>
      </c>
      <c r="I64" s="8">
        <f t="shared" si="31"/>
        <v>6</v>
      </c>
      <c r="J64" s="8">
        <f t="shared" si="31"/>
        <v>7</v>
      </c>
      <c r="K64" s="8">
        <f t="shared" si="31"/>
        <v>8</v>
      </c>
      <c r="L64" s="8">
        <f t="shared" si="31"/>
        <v>9</v>
      </c>
      <c r="M64" s="8">
        <f t="shared" si="31"/>
        <v>10</v>
      </c>
      <c r="N64" s="8">
        <f t="shared" si="31"/>
        <v>11</v>
      </c>
      <c r="O64" s="8">
        <f t="shared" si="31"/>
        <v>12</v>
      </c>
      <c r="P64" s="8">
        <f t="shared" si="31"/>
        <v>13</v>
      </c>
      <c r="Q64" s="8">
        <f t="shared" si="31"/>
        <v>14</v>
      </c>
      <c r="R64" s="9">
        <f t="shared" si="31"/>
        <v>15</v>
      </c>
      <c r="S64"/>
      <c r="T64"/>
      <c r="U64"/>
      <c r="V64"/>
      <c r="W64"/>
      <c r="X64"/>
      <c r="Y64"/>
      <c r="Z64"/>
      <c r="AA64"/>
      <c r="AB64"/>
    </row>
    <row r="65" spans="1:28" s="10" customFormat="1" x14ac:dyDescent="0.2">
      <c r="C65" s="13" t="s">
        <v>6</v>
      </c>
      <c r="D65" s="5">
        <f>COMBIN($C$64,D64)/COMBIN($C$1,D64)</f>
        <v>0.54166666666666663</v>
      </c>
      <c r="E65" s="36">
        <f>COMBIN($C$64,E64)/COMBIN($C$1,E64)</f>
        <v>0.28260869565217389</v>
      </c>
      <c r="F65" s="36">
        <f>COMBIN($C$64,F64)/COMBIN($C$1,F64)</f>
        <v>0.14130434782608695</v>
      </c>
      <c r="G65" s="36">
        <f>COMBIN($C$64,G64)/COMBIN($C$1,G64)</f>
        <v>6.7287784679089024E-2</v>
      </c>
      <c r="H65" s="36">
        <f>COMBIN($C$64,H64)/COMBIN($C$1,H64)</f>
        <v>3.0279503105590067E-2</v>
      </c>
      <c r="I65" s="36">
        <f>COMBIN($C$64,I64)/COMBIN($C$1,I64)</f>
        <v>1.2749264465511603E-2</v>
      </c>
      <c r="J65" s="36">
        <f>COMBIN($C$64,J64)/COMBIN($C$1,J64)</f>
        <v>4.9580472921434016E-3</v>
      </c>
      <c r="K65" s="36">
        <f>COMBIN($C$64,K64)/COMBIN($C$1,K64)</f>
        <v>1.7498990442859066E-3</v>
      </c>
      <c r="L65" s="36">
        <f>COMBIN($C$64,L64)/COMBIN($C$1,L64)</f>
        <v>5.4684345133934576E-4</v>
      </c>
      <c r="M65" s="36">
        <f>COMBIN($C$64,M64)/COMBIN($C$1,M64)</f>
        <v>1.4582492035715888E-4</v>
      </c>
      <c r="N65" s="36">
        <f>COMBIN($C$64,N64)/COMBIN($C$1,N64)</f>
        <v>3.1248197219391185E-5</v>
      </c>
      <c r="O65" s="36">
        <f>COMBIN($C$64,O64)/COMBIN($C$1,O64)</f>
        <v>4.8074149568294117E-6</v>
      </c>
      <c r="P65" s="36">
        <f>COMBIN($C$64,P64)/COMBIN($C$1,P64)</f>
        <v>4.0061791306911773E-7</v>
      </c>
      <c r="Q65" s="36"/>
      <c r="R65" s="16">
        <f t="shared" ref="R65" si="32">1-(R64/25)</f>
        <v>0.4</v>
      </c>
      <c r="S65"/>
      <c r="T65"/>
      <c r="U65"/>
      <c r="V65"/>
      <c r="W65"/>
      <c r="X65"/>
      <c r="Y65"/>
      <c r="Z65"/>
      <c r="AA65"/>
      <c r="AB65"/>
    </row>
    <row r="66" spans="1:28" s="10" customFormat="1" x14ac:dyDescent="0.2">
      <c r="C66" s="17" t="s">
        <v>7</v>
      </c>
      <c r="D66" s="44">
        <f>1/D65</f>
        <v>1.8461538461538463</v>
      </c>
      <c r="E66" s="45">
        <f t="shared" ref="E66:P66" si="33">1/E65</f>
        <v>3.5384615384615388</v>
      </c>
      <c r="F66" s="45">
        <f t="shared" si="33"/>
        <v>7.0769230769230775</v>
      </c>
      <c r="G66" s="45">
        <f t="shared" si="33"/>
        <v>14.861538461538462</v>
      </c>
      <c r="H66" s="45">
        <f t="shared" si="33"/>
        <v>33.025641025641022</v>
      </c>
      <c r="I66" s="45">
        <f t="shared" si="33"/>
        <v>78.435897435897445</v>
      </c>
      <c r="J66" s="45">
        <f t="shared" si="33"/>
        <v>201.69230769230771</v>
      </c>
      <c r="K66" s="45">
        <f t="shared" si="33"/>
        <v>571.46153846153845</v>
      </c>
      <c r="L66" s="45">
        <f t="shared" si="33"/>
        <v>1828.6769230769232</v>
      </c>
      <c r="M66" s="45">
        <f t="shared" si="33"/>
        <v>6857.538461538461</v>
      </c>
      <c r="N66" s="45">
        <f t="shared" si="33"/>
        <v>32001.84615384616</v>
      </c>
      <c r="O66" s="45">
        <f t="shared" si="33"/>
        <v>208012.00000000009</v>
      </c>
      <c r="P66" s="45">
        <f t="shared" si="33"/>
        <v>2496144.0000000005</v>
      </c>
      <c r="Q66" s="45"/>
      <c r="R66" s="12"/>
      <c r="S66"/>
      <c r="T66"/>
      <c r="U66"/>
      <c r="V66"/>
      <c r="W66"/>
      <c r="X66"/>
      <c r="Y66"/>
      <c r="Z66"/>
      <c r="AA66"/>
      <c r="AB66"/>
    </row>
    <row r="67" spans="1:28" s="10" customFormat="1" ht="16" thickBot="1" x14ac:dyDescent="0.25">
      <c r="C67" s="20" t="s">
        <v>8</v>
      </c>
      <c r="D67" s="46">
        <f>$F$1*D66</f>
        <v>1.7538461538461538</v>
      </c>
      <c r="E67" s="47">
        <f t="shared" ref="E67:P67" si="34">$F$1*E66</f>
        <v>3.3615384615384616</v>
      </c>
      <c r="F67" s="47">
        <f t="shared" si="34"/>
        <v>6.7230769230769232</v>
      </c>
      <c r="G67" s="47">
        <f t="shared" si="34"/>
        <v>14.118461538461538</v>
      </c>
      <c r="H67" s="47">
        <f t="shared" si="34"/>
        <v>31.374358974358969</v>
      </c>
      <c r="I67" s="47">
        <f t="shared" si="34"/>
        <v>74.514102564102572</v>
      </c>
      <c r="J67" s="47">
        <f t="shared" si="34"/>
        <v>191.6076923076923</v>
      </c>
      <c r="K67" s="47">
        <f t="shared" si="34"/>
        <v>542.88846153846146</v>
      </c>
      <c r="L67" s="47">
        <f t="shared" si="34"/>
        <v>1737.2430769230771</v>
      </c>
      <c r="M67" s="47">
        <f t="shared" si="34"/>
        <v>6514.6615384615379</v>
      </c>
      <c r="N67" s="47">
        <f t="shared" si="34"/>
        <v>30401.75384615385</v>
      </c>
      <c r="O67" s="47">
        <f t="shared" si="34"/>
        <v>197611.40000000008</v>
      </c>
      <c r="P67" s="47">
        <f t="shared" si="34"/>
        <v>2371336.8000000003</v>
      </c>
      <c r="Q67" s="47"/>
      <c r="R67" s="23"/>
      <c r="S67"/>
      <c r="T67"/>
      <c r="U67"/>
      <c r="V67"/>
      <c r="W67"/>
      <c r="X67"/>
      <c r="Y67"/>
      <c r="Z67"/>
      <c r="AA67"/>
      <c r="AB67"/>
    </row>
    <row r="68" spans="1:28" ht="16" thickBot="1" x14ac:dyDescent="0.25"/>
    <row r="69" spans="1:28" s="10" customFormat="1" ht="16" thickBot="1" x14ac:dyDescent="0.25">
      <c r="A69" s="5" t="s">
        <v>19</v>
      </c>
      <c r="B69" s="6" t="s">
        <v>3</v>
      </c>
      <c r="C69" s="7" t="s">
        <v>4</v>
      </c>
      <c r="D69" s="51" t="s">
        <v>5</v>
      </c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3"/>
      <c r="R69"/>
      <c r="S69"/>
      <c r="T69"/>
      <c r="U69"/>
      <c r="V69"/>
      <c r="W69"/>
      <c r="X69"/>
      <c r="Y69"/>
      <c r="Z69"/>
      <c r="AA69"/>
      <c r="AB69"/>
    </row>
    <row r="70" spans="1:28" s="10" customFormat="1" ht="16" thickBot="1" x14ac:dyDescent="0.25">
      <c r="A70" s="11"/>
      <c r="B70" s="7">
        <v>12</v>
      </c>
      <c r="C70" s="12">
        <f>$C$1-B70</f>
        <v>12</v>
      </c>
      <c r="D70" s="6">
        <v>1</v>
      </c>
      <c r="E70" s="8">
        <f>D70+1</f>
        <v>2</v>
      </c>
      <c r="F70" s="8">
        <f t="shared" ref="F70:Q70" si="35">E70+1</f>
        <v>3</v>
      </c>
      <c r="G70" s="8">
        <f t="shared" si="35"/>
        <v>4</v>
      </c>
      <c r="H70" s="8">
        <f t="shared" si="35"/>
        <v>5</v>
      </c>
      <c r="I70" s="8">
        <f t="shared" si="35"/>
        <v>6</v>
      </c>
      <c r="J70" s="8">
        <f t="shared" si="35"/>
        <v>7</v>
      </c>
      <c r="K70" s="8">
        <f t="shared" si="35"/>
        <v>8</v>
      </c>
      <c r="L70" s="8">
        <f t="shared" si="35"/>
        <v>9</v>
      </c>
      <c r="M70" s="8">
        <f t="shared" si="35"/>
        <v>10</v>
      </c>
      <c r="N70" s="8">
        <f t="shared" si="35"/>
        <v>11</v>
      </c>
      <c r="O70" s="8">
        <f t="shared" si="35"/>
        <v>12</v>
      </c>
      <c r="P70" s="8">
        <f t="shared" si="35"/>
        <v>13</v>
      </c>
      <c r="Q70" s="9">
        <f t="shared" si="35"/>
        <v>14</v>
      </c>
      <c r="R70"/>
      <c r="S70"/>
      <c r="T70"/>
      <c r="U70"/>
      <c r="V70"/>
      <c r="W70"/>
      <c r="X70"/>
      <c r="Y70"/>
      <c r="Z70"/>
      <c r="AA70"/>
      <c r="AB70"/>
    </row>
    <row r="71" spans="1:28" s="10" customFormat="1" x14ac:dyDescent="0.2">
      <c r="C71" s="13" t="s">
        <v>6</v>
      </c>
      <c r="D71" s="5">
        <f>COMBIN($C$70,D70)/COMBIN($C$1,D70)</f>
        <v>0.5</v>
      </c>
      <c r="E71" s="36">
        <f>COMBIN($C$70,E70)/COMBIN($C$1,E70)</f>
        <v>0.2391304347826087</v>
      </c>
      <c r="F71" s="36">
        <f>COMBIN($C$70,F70)/COMBIN($C$1,F70)</f>
        <v>0.10869565217391303</v>
      </c>
      <c r="G71" s="36">
        <f>COMBIN($C$70,G70)/COMBIN($C$1,G70)</f>
        <v>4.6583850931677016E-2</v>
      </c>
      <c r="H71" s="36">
        <f>COMBIN($C$70,H70)/COMBIN($C$1,H70)</f>
        <v>1.8633540372670811E-2</v>
      </c>
      <c r="I71" s="36">
        <f>COMBIN($C$70,I70)/COMBIN($C$1,I70)</f>
        <v>6.8649885583523997E-3</v>
      </c>
      <c r="J71" s="36">
        <f>COMBIN($C$70,J70)/COMBIN($C$1,J70)</f>
        <v>2.2883295194508009E-3</v>
      </c>
      <c r="K71" s="36">
        <f>COMBIN($C$70,K70)/COMBIN($C$1,K70)</f>
        <v>6.7303809395611789E-4</v>
      </c>
      <c r="L71" s="36">
        <f>COMBIN($C$70,L70)/COMBIN($C$1,L70)</f>
        <v>1.6825952348902947E-4</v>
      </c>
      <c r="M71" s="36">
        <f>COMBIN($C$70,M70)/COMBIN($C$1,M70)</f>
        <v>3.3651904697805894E-5</v>
      </c>
      <c r="N71" s="36">
        <f>COMBIN($C$70,N70)/COMBIN($C$1,N70)</f>
        <v>4.8074149568294125E-6</v>
      </c>
      <c r="O71" s="36">
        <f>COMBIN($C$70,O70)/COMBIN($C$1,O70)</f>
        <v>3.6980115052533939E-7</v>
      </c>
      <c r="P71" s="36"/>
      <c r="Q71" s="16"/>
      <c r="R71"/>
      <c r="S71"/>
      <c r="T71"/>
      <c r="U71"/>
      <c r="V71"/>
      <c r="W71"/>
      <c r="X71"/>
      <c r="Y71"/>
      <c r="Z71"/>
      <c r="AA71"/>
      <c r="AB71"/>
    </row>
    <row r="72" spans="1:28" s="10" customFormat="1" x14ac:dyDescent="0.2">
      <c r="C72" s="17" t="s">
        <v>7</v>
      </c>
      <c r="D72" s="37">
        <f>1/D71</f>
        <v>2</v>
      </c>
      <c r="E72" s="10">
        <f t="shared" ref="E72:O72" si="36">1/E71</f>
        <v>4.1818181818181817</v>
      </c>
      <c r="F72" s="10">
        <f t="shared" si="36"/>
        <v>9.2000000000000011</v>
      </c>
      <c r="G72" s="10">
        <f t="shared" si="36"/>
        <v>21.466666666666669</v>
      </c>
      <c r="H72" s="10">
        <f t="shared" si="36"/>
        <v>53.666666666666657</v>
      </c>
      <c r="I72" s="10">
        <f t="shared" si="36"/>
        <v>145.66666666666674</v>
      </c>
      <c r="J72" s="10">
        <f t="shared" si="36"/>
        <v>437</v>
      </c>
      <c r="K72" s="10">
        <f t="shared" si="36"/>
        <v>1485.8</v>
      </c>
      <c r="L72" s="10">
        <f t="shared" si="36"/>
        <v>5943.2</v>
      </c>
      <c r="M72" s="10">
        <f t="shared" si="36"/>
        <v>29716</v>
      </c>
      <c r="N72" s="10">
        <f t="shared" si="36"/>
        <v>208012.00000000006</v>
      </c>
      <c r="O72" s="10">
        <f t="shared" si="36"/>
        <v>2704156.0000000009</v>
      </c>
      <c r="Q72" s="12"/>
      <c r="R72"/>
      <c r="S72"/>
      <c r="T72"/>
      <c r="U72"/>
      <c r="V72"/>
      <c r="W72"/>
      <c r="X72"/>
      <c r="Y72"/>
      <c r="Z72"/>
      <c r="AA72"/>
      <c r="AB72"/>
    </row>
    <row r="73" spans="1:28" s="10" customFormat="1" ht="16" thickBot="1" x14ac:dyDescent="0.25">
      <c r="C73" s="20" t="s">
        <v>8</v>
      </c>
      <c r="D73" s="11">
        <f>$F$1*D72</f>
        <v>1.9</v>
      </c>
      <c r="E73" s="38">
        <f t="shared" ref="E73:O73" si="37">$F$1*E72</f>
        <v>3.9727272727272722</v>
      </c>
      <c r="F73" s="38">
        <f t="shared" si="37"/>
        <v>8.74</v>
      </c>
      <c r="G73" s="38">
        <f t="shared" si="37"/>
        <v>20.393333333333334</v>
      </c>
      <c r="H73" s="38">
        <f t="shared" si="37"/>
        <v>50.98333333333332</v>
      </c>
      <c r="I73" s="38">
        <f t="shared" si="37"/>
        <v>138.38333333333341</v>
      </c>
      <c r="J73" s="38">
        <f t="shared" si="37"/>
        <v>415.15</v>
      </c>
      <c r="K73" s="38">
        <f t="shared" si="37"/>
        <v>1411.51</v>
      </c>
      <c r="L73" s="38">
        <f t="shared" si="37"/>
        <v>5646.04</v>
      </c>
      <c r="M73" s="38">
        <f t="shared" si="37"/>
        <v>28230.199999999997</v>
      </c>
      <c r="N73" s="38">
        <f t="shared" si="37"/>
        <v>197611.40000000005</v>
      </c>
      <c r="O73" s="38">
        <f t="shared" si="37"/>
        <v>2568948.2000000007</v>
      </c>
      <c r="P73" s="38"/>
      <c r="Q73" s="23"/>
      <c r="R73"/>
      <c r="S73"/>
      <c r="T73"/>
      <c r="U73"/>
      <c r="V73"/>
      <c r="W73"/>
      <c r="X73"/>
      <c r="Y73"/>
      <c r="Z73"/>
      <c r="AA73"/>
      <c r="AB73"/>
    </row>
    <row r="74" spans="1:28" ht="16" thickBot="1" x14ac:dyDescent="0.25"/>
    <row r="75" spans="1:28" s="10" customFormat="1" ht="16" thickBot="1" x14ac:dyDescent="0.25">
      <c r="A75" s="5" t="s">
        <v>20</v>
      </c>
      <c r="B75" s="6" t="s">
        <v>3</v>
      </c>
      <c r="C75" s="7" t="s">
        <v>4</v>
      </c>
      <c r="D75" s="51" t="s">
        <v>5</v>
      </c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3"/>
      <c r="Q75"/>
      <c r="R75"/>
      <c r="S75"/>
      <c r="T75"/>
      <c r="U75"/>
      <c r="V75"/>
      <c r="W75"/>
      <c r="X75"/>
      <c r="Y75"/>
      <c r="Z75"/>
      <c r="AA75"/>
      <c r="AB75"/>
    </row>
    <row r="76" spans="1:28" s="10" customFormat="1" ht="16" thickBot="1" x14ac:dyDescent="0.25">
      <c r="A76" s="11"/>
      <c r="B76" s="7">
        <v>13</v>
      </c>
      <c r="C76" s="12">
        <f>$C$1-B76</f>
        <v>11</v>
      </c>
      <c r="D76" s="6">
        <v>1</v>
      </c>
      <c r="E76" s="8">
        <f>D76+1</f>
        <v>2</v>
      </c>
      <c r="F76" s="8">
        <f t="shared" ref="F76:P76" si="38">E76+1</f>
        <v>3</v>
      </c>
      <c r="G76" s="8">
        <f t="shared" si="38"/>
        <v>4</v>
      </c>
      <c r="H76" s="8">
        <f t="shared" si="38"/>
        <v>5</v>
      </c>
      <c r="I76" s="8">
        <f t="shared" si="38"/>
        <v>6</v>
      </c>
      <c r="J76" s="8">
        <f t="shared" si="38"/>
        <v>7</v>
      </c>
      <c r="K76" s="8">
        <f t="shared" si="38"/>
        <v>8</v>
      </c>
      <c r="L76" s="8">
        <f t="shared" si="38"/>
        <v>9</v>
      </c>
      <c r="M76" s="8">
        <f t="shared" si="38"/>
        <v>10</v>
      </c>
      <c r="N76" s="8">
        <f t="shared" si="38"/>
        <v>11</v>
      </c>
      <c r="O76" s="8">
        <f t="shared" si="38"/>
        <v>12</v>
      </c>
      <c r="P76" s="9">
        <f t="shared" si="38"/>
        <v>13</v>
      </c>
      <c r="Q76"/>
      <c r="R76"/>
      <c r="S76"/>
      <c r="T76"/>
      <c r="U76"/>
      <c r="V76"/>
      <c r="W76"/>
      <c r="X76"/>
      <c r="Y76"/>
      <c r="Z76"/>
      <c r="AA76"/>
      <c r="AB76"/>
    </row>
    <row r="77" spans="1:28" s="10" customFormat="1" x14ac:dyDescent="0.2">
      <c r="C77" s="13" t="s">
        <v>6</v>
      </c>
      <c r="D77" s="5">
        <f>COMBIN($C$76,D76)/COMBIN($C$1,D76)</f>
        <v>0.45833333333333331</v>
      </c>
      <c r="E77" s="36">
        <f>COMBIN($C$76,E76)/COMBIN($C$1,E76)</f>
        <v>0.19927536231884058</v>
      </c>
      <c r="F77" s="36">
        <f>COMBIN($C$76,F76)/COMBIN($C$1,F76)</f>
        <v>8.152173913043477E-2</v>
      </c>
      <c r="G77" s="36">
        <f>COMBIN($C$76,G76)/COMBIN($C$1,G76)</f>
        <v>3.1055900621118012E-2</v>
      </c>
      <c r="H77" s="36">
        <f>COMBIN($C$76,H76)/COMBIN($C$1,H76)</f>
        <v>1.0869565217391304E-2</v>
      </c>
      <c r="I77" s="36">
        <f>COMBIN($C$76,I76)/COMBIN($C$1,I76)</f>
        <v>3.4324942791762003E-3</v>
      </c>
      <c r="J77" s="36">
        <f>COMBIN($C$76,J76)/COMBIN($C$1,J76)</f>
        <v>9.5347063310450035E-4</v>
      </c>
      <c r="K77" s="36">
        <f>COMBIN($C$76,K76)/COMBIN($C$1,K76)</f>
        <v>2.2434603131870598E-4</v>
      </c>
      <c r="L77" s="36">
        <f>COMBIN($C$76,L76)/COMBIN($C$1,L76)</f>
        <v>4.2064880872257368E-5</v>
      </c>
      <c r="M77" s="36">
        <f>COMBIN($C$76,M76)/COMBIN($C$1,M76)</f>
        <v>5.6086507829676493E-6</v>
      </c>
      <c r="N77" s="36">
        <f>COMBIN($C$76,N76)/COMBIN($C$1,N76)</f>
        <v>4.0061791306911773E-7</v>
      </c>
      <c r="O77" s="36"/>
      <c r="P77" s="16"/>
      <c r="Q77"/>
      <c r="R77"/>
      <c r="S77"/>
      <c r="T77"/>
      <c r="U77"/>
      <c r="V77"/>
      <c r="W77"/>
      <c r="X77"/>
      <c r="Y77"/>
      <c r="Z77"/>
      <c r="AA77"/>
      <c r="AB77"/>
    </row>
    <row r="78" spans="1:28" s="10" customFormat="1" x14ac:dyDescent="0.2">
      <c r="C78" s="17" t="s">
        <v>7</v>
      </c>
      <c r="D78" s="37">
        <f>1/D77</f>
        <v>2.1818181818181821</v>
      </c>
      <c r="E78" s="10">
        <f t="shared" ref="E78:N78" si="39">1/E77</f>
        <v>5.0181818181818185</v>
      </c>
      <c r="F78" s="10">
        <f t="shared" si="39"/>
        <v>12.266666666666669</v>
      </c>
      <c r="G78" s="10">
        <f t="shared" si="39"/>
        <v>32.200000000000003</v>
      </c>
      <c r="H78" s="10">
        <f t="shared" si="39"/>
        <v>92</v>
      </c>
      <c r="I78" s="10">
        <f t="shared" si="39"/>
        <v>291.33333333333343</v>
      </c>
      <c r="J78" s="10">
        <f t="shared" si="39"/>
        <v>1048.8</v>
      </c>
      <c r="K78" s="10">
        <f t="shared" si="39"/>
        <v>4457.3999999999996</v>
      </c>
      <c r="L78" s="10">
        <f t="shared" si="39"/>
        <v>23772.799999999999</v>
      </c>
      <c r="M78" s="10">
        <f t="shared" si="39"/>
        <v>178296</v>
      </c>
      <c r="N78" s="10">
        <f t="shared" si="39"/>
        <v>2496144.0000000005</v>
      </c>
      <c r="P78" s="12"/>
      <c r="Q78"/>
      <c r="R78"/>
      <c r="S78"/>
      <c r="T78"/>
      <c r="U78"/>
      <c r="V78"/>
      <c r="W78"/>
      <c r="X78"/>
      <c r="Y78"/>
      <c r="Z78"/>
      <c r="AA78"/>
      <c r="AB78"/>
    </row>
    <row r="79" spans="1:28" s="10" customFormat="1" ht="16" thickBot="1" x14ac:dyDescent="0.25">
      <c r="C79" s="20" t="s">
        <v>8</v>
      </c>
      <c r="D79" s="11">
        <f>$F$1*D78</f>
        <v>2.0727272727272728</v>
      </c>
      <c r="E79" s="38">
        <f t="shared" ref="E79:N79" si="40">$F$1*E78</f>
        <v>4.7672727272727276</v>
      </c>
      <c r="F79" s="38">
        <f t="shared" si="40"/>
        <v>11.653333333333336</v>
      </c>
      <c r="G79" s="38">
        <f t="shared" si="40"/>
        <v>30.59</v>
      </c>
      <c r="H79" s="38">
        <f t="shared" si="40"/>
        <v>87.399999999999991</v>
      </c>
      <c r="I79" s="38">
        <f t="shared" si="40"/>
        <v>276.76666666666677</v>
      </c>
      <c r="J79" s="38">
        <f t="shared" si="40"/>
        <v>996.3599999999999</v>
      </c>
      <c r="K79" s="38">
        <f t="shared" si="40"/>
        <v>4234.53</v>
      </c>
      <c r="L79" s="38">
        <f t="shared" si="40"/>
        <v>22584.16</v>
      </c>
      <c r="M79" s="38">
        <f t="shared" si="40"/>
        <v>169381.19999999998</v>
      </c>
      <c r="N79" s="38">
        <f t="shared" si="40"/>
        <v>2371336.8000000003</v>
      </c>
      <c r="O79" s="38"/>
      <c r="P79" s="23"/>
      <c r="Q79"/>
      <c r="R79"/>
      <c r="S79"/>
      <c r="T79"/>
      <c r="U79"/>
      <c r="V79"/>
      <c r="W79"/>
      <c r="X79"/>
      <c r="Y79"/>
      <c r="Z79"/>
      <c r="AA79"/>
      <c r="AB79"/>
    </row>
    <row r="80" spans="1:28" ht="16" thickBot="1" x14ac:dyDescent="0.25"/>
    <row r="81" spans="1:28" s="10" customFormat="1" ht="16" thickBot="1" x14ac:dyDescent="0.25">
      <c r="A81" s="5" t="s">
        <v>21</v>
      </c>
      <c r="B81" s="6" t="s">
        <v>3</v>
      </c>
      <c r="C81" s="7" t="s">
        <v>4</v>
      </c>
      <c r="D81" s="51" t="s">
        <v>5</v>
      </c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3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1:28" s="10" customFormat="1" ht="16" thickBot="1" x14ac:dyDescent="0.25">
      <c r="A82" s="11"/>
      <c r="B82" s="7">
        <v>14</v>
      </c>
      <c r="C82" s="12">
        <f>$C$1-B82</f>
        <v>10</v>
      </c>
      <c r="D82" s="6">
        <v>1</v>
      </c>
      <c r="E82" s="8">
        <f>D82+1</f>
        <v>2</v>
      </c>
      <c r="F82" s="8">
        <f t="shared" ref="F82:O82" si="41">E82+1</f>
        <v>3</v>
      </c>
      <c r="G82" s="8">
        <f t="shared" si="41"/>
        <v>4</v>
      </c>
      <c r="H82" s="8">
        <f t="shared" si="41"/>
        <v>5</v>
      </c>
      <c r="I82" s="8">
        <f t="shared" si="41"/>
        <v>6</v>
      </c>
      <c r="J82" s="8">
        <f t="shared" si="41"/>
        <v>7</v>
      </c>
      <c r="K82" s="8">
        <f t="shared" si="41"/>
        <v>8</v>
      </c>
      <c r="L82" s="8">
        <f t="shared" si="41"/>
        <v>9</v>
      </c>
      <c r="M82" s="8">
        <f t="shared" si="41"/>
        <v>10</v>
      </c>
      <c r="N82" s="8">
        <f t="shared" si="41"/>
        <v>11</v>
      </c>
      <c r="O82" s="9">
        <f t="shared" si="41"/>
        <v>12</v>
      </c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1:28" s="10" customFormat="1" x14ac:dyDescent="0.2">
      <c r="C83" s="13" t="s">
        <v>6</v>
      </c>
      <c r="D83" s="5">
        <f>COMBIN($C$82,D82)/COMBIN($C$1,D82)</f>
        <v>0.41666666666666669</v>
      </c>
      <c r="E83" s="36">
        <f>COMBIN($C$82,E82)/COMBIN($C$1,E82)</f>
        <v>0.16304347826086957</v>
      </c>
      <c r="F83" s="36">
        <f>COMBIN($C$82,F82)/COMBIN($C$1,F82)</f>
        <v>5.9288537549407105E-2</v>
      </c>
      <c r="G83" s="36">
        <f>COMBIN($C$82,G82)/COMBIN($C$1,G82)</f>
        <v>1.9762845849802368E-2</v>
      </c>
      <c r="H83" s="36">
        <f>COMBIN($C$82,H82)/COMBIN($C$1,H82)</f>
        <v>5.9288537549407128E-3</v>
      </c>
      <c r="I83" s="36">
        <f>COMBIN($C$82,I82)/COMBIN($C$1,I82)</f>
        <v>1.5602246723528182E-3</v>
      </c>
      <c r="J83" s="36">
        <f>COMBIN($C$82,J82)/COMBIN($C$1,J82)</f>
        <v>3.4671659385618195E-4</v>
      </c>
      <c r="K83" s="36">
        <f>COMBIN($C$82,K82)/COMBIN($C$1,K82)</f>
        <v>6.1185281268737987E-5</v>
      </c>
      <c r="L83" s="36">
        <f>COMBIN($C$82,L82)/COMBIN($C$1,L82)</f>
        <v>7.6481601585922484E-6</v>
      </c>
      <c r="M83" s="36">
        <f>COMBIN($C$82,M82)/COMBIN($C$1,M82)</f>
        <v>5.0987734390614998E-7</v>
      </c>
      <c r="N83" s="36"/>
      <c r="O83" s="16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1:28" s="10" customFormat="1" x14ac:dyDescent="0.2">
      <c r="C84" s="17" t="s">
        <v>7</v>
      </c>
      <c r="D84" s="37">
        <f>1/D83</f>
        <v>2.4</v>
      </c>
      <c r="E84" s="10">
        <f t="shared" ref="E84:M84" si="42">1/E83</f>
        <v>6.1333333333333329</v>
      </c>
      <c r="F84" s="10">
        <f t="shared" si="42"/>
        <v>16.866666666666671</v>
      </c>
      <c r="G84" s="10">
        <f t="shared" si="42"/>
        <v>50.600000000000009</v>
      </c>
      <c r="H84" s="10">
        <f t="shared" si="42"/>
        <v>168.66666666666663</v>
      </c>
      <c r="I84" s="10">
        <f t="shared" si="42"/>
        <v>640.93333333333362</v>
      </c>
      <c r="J84" s="10">
        <f t="shared" si="42"/>
        <v>2884.2</v>
      </c>
      <c r="K84" s="10">
        <f t="shared" si="42"/>
        <v>16343.800000000001</v>
      </c>
      <c r="L84" s="10">
        <f t="shared" si="42"/>
        <v>130750.40000000001</v>
      </c>
      <c r="M84" s="10">
        <f t="shared" si="42"/>
        <v>1961255.9999999998</v>
      </c>
      <c r="O84" s="12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1:28" s="10" customFormat="1" ht="16" thickBot="1" x14ac:dyDescent="0.25">
      <c r="C85" s="20" t="s">
        <v>8</v>
      </c>
      <c r="D85" s="11">
        <f>$F$1*D84</f>
        <v>2.2799999999999998</v>
      </c>
      <c r="E85" s="38">
        <f t="shared" ref="E85:M85" si="43">$F$1*E84</f>
        <v>5.8266666666666662</v>
      </c>
      <c r="F85" s="38">
        <f t="shared" si="43"/>
        <v>16.023333333333337</v>
      </c>
      <c r="G85" s="38">
        <f t="shared" si="43"/>
        <v>48.070000000000007</v>
      </c>
      <c r="H85" s="38">
        <f t="shared" si="43"/>
        <v>160.23333333333329</v>
      </c>
      <c r="I85" s="38">
        <f t="shared" si="43"/>
        <v>608.88666666666688</v>
      </c>
      <c r="J85" s="38">
        <f t="shared" si="43"/>
        <v>2739.99</v>
      </c>
      <c r="K85" s="38">
        <f t="shared" si="43"/>
        <v>15526.61</v>
      </c>
      <c r="L85" s="38">
        <f t="shared" si="43"/>
        <v>124212.88</v>
      </c>
      <c r="M85" s="38">
        <f t="shared" si="43"/>
        <v>1863193.1999999997</v>
      </c>
      <c r="N85" s="38"/>
      <c r="O85" s="23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1:28" ht="16" thickBot="1" x14ac:dyDescent="0.25"/>
    <row r="87" spans="1:28" s="10" customFormat="1" ht="16" thickBot="1" x14ac:dyDescent="0.25">
      <c r="A87" s="5" t="s">
        <v>22</v>
      </c>
      <c r="B87" s="6" t="s">
        <v>3</v>
      </c>
      <c r="C87" s="7" t="s">
        <v>4</v>
      </c>
      <c r="D87" s="51" t="s">
        <v>5</v>
      </c>
      <c r="E87" s="52"/>
      <c r="F87" s="52"/>
      <c r="G87" s="52"/>
      <c r="H87" s="52"/>
      <c r="I87" s="52"/>
      <c r="J87" s="52"/>
      <c r="K87" s="52"/>
      <c r="L87" s="52"/>
      <c r="M87" s="52"/>
      <c r="N87" s="53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1:28" s="10" customFormat="1" ht="16" thickBot="1" x14ac:dyDescent="0.25">
      <c r="A88" s="11"/>
      <c r="B88" s="7">
        <v>15</v>
      </c>
      <c r="C88" s="12">
        <f>$C$1-B88</f>
        <v>9</v>
      </c>
      <c r="D88" s="6">
        <v>1</v>
      </c>
      <c r="E88" s="8">
        <f>D88+1</f>
        <v>2</v>
      </c>
      <c r="F88" s="8">
        <f t="shared" ref="F88:N88" si="44">E88+1</f>
        <v>3</v>
      </c>
      <c r="G88" s="8">
        <f t="shared" si="44"/>
        <v>4</v>
      </c>
      <c r="H88" s="8">
        <f t="shared" si="44"/>
        <v>5</v>
      </c>
      <c r="I88" s="8">
        <f t="shared" si="44"/>
        <v>6</v>
      </c>
      <c r="J88" s="8">
        <f t="shared" si="44"/>
        <v>7</v>
      </c>
      <c r="K88" s="8">
        <f t="shared" si="44"/>
        <v>8</v>
      </c>
      <c r="L88" s="8">
        <f t="shared" si="44"/>
        <v>9</v>
      </c>
      <c r="M88" s="8">
        <f t="shared" si="44"/>
        <v>10</v>
      </c>
      <c r="N88" s="9">
        <f t="shared" si="44"/>
        <v>11</v>
      </c>
      <c r="O88"/>
      <c r="P88"/>
      <c r="Q88"/>
      <c r="R88"/>
      <c r="S88"/>
      <c r="T88"/>
      <c r="U88"/>
      <c r="V88"/>
      <c r="W88"/>
      <c r="X88"/>
      <c r="Y88"/>
      <c r="Z88"/>
      <c r="AA88"/>
      <c r="AB88"/>
    </row>
    <row r="89" spans="1:28" s="10" customFormat="1" x14ac:dyDescent="0.2">
      <c r="C89" s="13" t="s">
        <v>6</v>
      </c>
      <c r="D89" s="5">
        <f>COMBIN($C$88,D88)/COMBIN($C$1,D88)</f>
        <v>0.375</v>
      </c>
      <c r="E89" s="36">
        <f>COMBIN($C$88,E88)/COMBIN($C$1,E88)</f>
        <v>0.13043478260869565</v>
      </c>
      <c r="F89" s="36">
        <f>COMBIN($C$88,F88)/COMBIN($C$1,F88)</f>
        <v>4.150197628458497E-2</v>
      </c>
      <c r="G89" s="36">
        <f>COMBIN($C$88,G88)/COMBIN($C$1,G88)</f>
        <v>1.1857707509881422E-2</v>
      </c>
      <c r="H89" s="36">
        <f>COMBIN($C$88,H88)/COMBIN($C$1,H88)</f>
        <v>2.9644268774703564E-3</v>
      </c>
      <c r="I89" s="36">
        <f>COMBIN($C$88,I88)/COMBIN($C$1,I88)</f>
        <v>6.2408986894112726E-4</v>
      </c>
      <c r="J89" s="36">
        <f>COMBIN($C$88,J88)/COMBIN($C$1,J88)</f>
        <v>1.0401497815685458E-4</v>
      </c>
      <c r="K89" s="36">
        <f>COMBIN($C$88,K88)/COMBIN($C$1,K88)</f>
        <v>1.2237056253747598E-5</v>
      </c>
      <c r="L89" s="36">
        <f>COMBIN($C$88,L88)/COMBIN($C$1,L88)</f>
        <v>7.6481601585922486E-7</v>
      </c>
      <c r="M89" s="36"/>
      <c r="N89" s="16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1:28" s="10" customFormat="1" x14ac:dyDescent="0.2">
      <c r="C90" s="17" t="s">
        <v>7</v>
      </c>
      <c r="D90" s="37">
        <f>1/D89</f>
        <v>2.6666666666666665</v>
      </c>
      <c r="E90" s="10">
        <f t="shared" ref="E90:L90" si="45">1/E89</f>
        <v>7.666666666666667</v>
      </c>
      <c r="F90" s="10">
        <f t="shared" si="45"/>
        <v>24.095238095238102</v>
      </c>
      <c r="G90" s="10">
        <f t="shared" si="45"/>
        <v>84.333333333333343</v>
      </c>
      <c r="H90" s="10">
        <f t="shared" si="45"/>
        <v>337.33333333333326</v>
      </c>
      <c r="I90" s="10">
        <f t="shared" si="45"/>
        <v>1602.3333333333339</v>
      </c>
      <c r="J90" s="10">
        <f t="shared" si="45"/>
        <v>9614</v>
      </c>
      <c r="K90" s="10">
        <f t="shared" si="45"/>
        <v>81719</v>
      </c>
      <c r="L90" s="10">
        <f t="shared" si="45"/>
        <v>1307504</v>
      </c>
      <c r="N90" s="12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1:28" s="10" customFormat="1" ht="16" thickBot="1" x14ac:dyDescent="0.25">
      <c r="C91" s="20" t="s">
        <v>8</v>
      </c>
      <c r="D91" s="11">
        <f>$F$1*D90</f>
        <v>2.5333333333333332</v>
      </c>
      <c r="E91" s="38">
        <f t="shared" ref="E91:L91" si="46">$F$1*E90</f>
        <v>7.2833333333333332</v>
      </c>
      <c r="F91" s="38">
        <f t="shared" si="46"/>
        <v>22.890476190476196</v>
      </c>
      <c r="G91" s="38">
        <f t="shared" si="46"/>
        <v>80.116666666666674</v>
      </c>
      <c r="H91" s="38">
        <f t="shared" si="46"/>
        <v>320.46666666666658</v>
      </c>
      <c r="I91" s="38">
        <f t="shared" si="46"/>
        <v>1522.2166666666672</v>
      </c>
      <c r="J91" s="38">
        <f t="shared" si="46"/>
        <v>9133.2999999999993</v>
      </c>
      <c r="K91" s="38">
        <f t="shared" si="46"/>
        <v>77633.05</v>
      </c>
      <c r="L91" s="38">
        <f t="shared" si="46"/>
        <v>1242128.8</v>
      </c>
      <c r="M91" s="38"/>
      <c r="N91" s="23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1:28" ht="16" thickBot="1" x14ac:dyDescent="0.25"/>
    <row r="93" spans="1:28" s="10" customFormat="1" ht="16" thickBot="1" x14ac:dyDescent="0.25">
      <c r="A93" s="5" t="s">
        <v>23</v>
      </c>
      <c r="B93" s="6" t="s">
        <v>3</v>
      </c>
      <c r="C93" s="7" t="s">
        <v>4</v>
      </c>
      <c r="D93" s="51" t="s">
        <v>5</v>
      </c>
      <c r="E93" s="52"/>
      <c r="F93" s="52"/>
      <c r="G93" s="52"/>
      <c r="H93" s="52"/>
      <c r="I93" s="52"/>
      <c r="J93" s="52"/>
      <c r="K93" s="52"/>
      <c r="L93" s="52"/>
      <c r="M93" s="5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1:28" s="10" customFormat="1" ht="16" thickBot="1" x14ac:dyDescent="0.25">
      <c r="A94" s="11"/>
      <c r="B94" s="7">
        <v>16</v>
      </c>
      <c r="C94" s="12">
        <f>$C$1-B94</f>
        <v>8</v>
      </c>
      <c r="D94" s="6">
        <v>1</v>
      </c>
      <c r="E94" s="8">
        <f>D94+1</f>
        <v>2</v>
      </c>
      <c r="F94" s="8">
        <f t="shared" ref="F94:M94" si="47">E94+1</f>
        <v>3</v>
      </c>
      <c r="G94" s="8">
        <f t="shared" si="47"/>
        <v>4</v>
      </c>
      <c r="H94" s="8">
        <f t="shared" si="47"/>
        <v>5</v>
      </c>
      <c r="I94" s="8">
        <f t="shared" si="47"/>
        <v>6</v>
      </c>
      <c r="J94" s="8">
        <f t="shared" si="47"/>
        <v>7</v>
      </c>
      <c r="K94" s="8">
        <f t="shared" si="47"/>
        <v>8</v>
      </c>
      <c r="L94" s="8">
        <f t="shared" si="47"/>
        <v>9</v>
      </c>
      <c r="M94" s="9">
        <f t="shared" si="47"/>
        <v>10</v>
      </c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1:28" s="10" customFormat="1" x14ac:dyDescent="0.2">
      <c r="C95" s="13" t="s">
        <v>6</v>
      </c>
      <c r="D95" s="5">
        <f>COMBIN($C$94,D94)/COMBIN($C$1,D94)</f>
        <v>0.33333333333333331</v>
      </c>
      <c r="E95" s="36">
        <f>COMBIN($C$94,E94)/COMBIN($C$1,E94)</f>
        <v>0.10144927536231885</v>
      </c>
      <c r="F95" s="36">
        <f>COMBIN($C$94,F94)/COMBIN($C$1,F94)</f>
        <v>2.7667984189723317E-2</v>
      </c>
      <c r="G95" s="36">
        <f>COMBIN($C$94,G94)/COMBIN($C$1,G94)</f>
        <v>6.587615283267457E-3</v>
      </c>
      <c r="H95" s="36">
        <f>COMBIN($C$94,H94)/COMBIN($C$1,H94)</f>
        <v>1.3175230566534917E-3</v>
      </c>
      <c r="I95" s="36">
        <f>COMBIN($C$94,I94)/COMBIN($C$1,I94)</f>
        <v>2.0802995631370914E-4</v>
      </c>
      <c r="J95" s="36">
        <f>COMBIN($C$94,J94)/COMBIN($C$1,J94)</f>
        <v>2.3114439590412129E-5</v>
      </c>
      <c r="K95" s="36">
        <f>COMBIN($C$94,K94)/COMBIN($C$1,K94)</f>
        <v>1.3596729170830664E-6</v>
      </c>
      <c r="L95" s="36"/>
      <c r="M95" s="16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1:28" s="10" customFormat="1" x14ac:dyDescent="0.2">
      <c r="C96" s="17" t="s">
        <v>7</v>
      </c>
      <c r="D96" s="35">
        <f>1/D95</f>
        <v>3</v>
      </c>
      <c r="E96" s="48">
        <f t="shared" ref="E96:K96" si="48">1/E95</f>
        <v>9.8571428571428559</v>
      </c>
      <c r="F96" s="48">
        <f t="shared" si="48"/>
        <v>36.142857142857146</v>
      </c>
      <c r="G96" s="48">
        <f t="shared" si="48"/>
        <v>151.80000000000001</v>
      </c>
      <c r="H96" s="48">
        <f t="shared" si="48"/>
        <v>758.99999999999989</v>
      </c>
      <c r="I96" s="48">
        <f t="shared" si="48"/>
        <v>4807.0000000000009</v>
      </c>
      <c r="J96" s="48">
        <f t="shared" si="48"/>
        <v>43263</v>
      </c>
      <c r="K96" s="48">
        <f t="shared" si="48"/>
        <v>735471</v>
      </c>
      <c r="L96" s="48"/>
      <c r="M96" s="12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1:28" s="10" customFormat="1" ht="16" thickBot="1" x14ac:dyDescent="0.25">
      <c r="C97" s="20" t="s">
        <v>8</v>
      </c>
      <c r="D97" s="11">
        <f>$F$1*D96</f>
        <v>2.8499999999999996</v>
      </c>
      <c r="E97" s="38">
        <f t="shared" ref="E97:K97" si="49">$F$1*E96</f>
        <v>9.3642857142857121</v>
      </c>
      <c r="F97" s="38">
        <f t="shared" si="49"/>
        <v>34.335714285714289</v>
      </c>
      <c r="G97" s="38">
        <f t="shared" si="49"/>
        <v>144.21</v>
      </c>
      <c r="H97" s="38">
        <f t="shared" si="49"/>
        <v>721.04999999999984</v>
      </c>
      <c r="I97" s="38">
        <f t="shared" si="49"/>
        <v>4566.6500000000005</v>
      </c>
      <c r="J97" s="38">
        <f t="shared" si="49"/>
        <v>41099.85</v>
      </c>
      <c r="K97" s="38">
        <f t="shared" si="49"/>
        <v>698697.45</v>
      </c>
      <c r="L97" s="38"/>
      <c r="M97" s="23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1:28" ht="16" thickBot="1" x14ac:dyDescent="0.25"/>
    <row r="99" spans="1:28" s="10" customFormat="1" ht="16" thickBot="1" x14ac:dyDescent="0.25">
      <c r="A99" s="5" t="s">
        <v>24</v>
      </c>
      <c r="B99" s="6" t="s">
        <v>3</v>
      </c>
      <c r="C99" s="7" t="s">
        <v>4</v>
      </c>
      <c r="D99" s="51" t="s">
        <v>5</v>
      </c>
      <c r="E99" s="52"/>
      <c r="F99" s="52"/>
      <c r="G99" s="52"/>
      <c r="H99" s="52"/>
      <c r="I99" s="52"/>
      <c r="J99" s="52"/>
      <c r="K99" s="52"/>
      <c r="L99" s="53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1:28" s="10" customFormat="1" ht="16" thickBot="1" x14ac:dyDescent="0.25">
      <c r="A100" s="11"/>
      <c r="B100" s="7">
        <v>17</v>
      </c>
      <c r="C100" s="12">
        <f>$C$1-B100</f>
        <v>7</v>
      </c>
      <c r="D100" s="6">
        <v>1</v>
      </c>
      <c r="E100" s="8">
        <f>D100+1</f>
        <v>2</v>
      </c>
      <c r="F100" s="8">
        <f t="shared" ref="F100:L100" si="50">E100+1</f>
        <v>3</v>
      </c>
      <c r="G100" s="8">
        <f t="shared" si="50"/>
        <v>4</v>
      </c>
      <c r="H100" s="8">
        <f t="shared" si="50"/>
        <v>5</v>
      </c>
      <c r="I100" s="8">
        <f t="shared" si="50"/>
        <v>6</v>
      </c>
      <c r="J100" s="8">
        <f t="shared" si="50"/>
        <v>7</v>
      </c>
      <c r="K100" s="8">
        <f t="shared" si="50"/>
        <v>8</v>
      </c>
      <c r="L100" s="9">
        <f t="shared" si="50"/>
        <v>9</v>
      </c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1:28" s="10" customFormat="1" x14ac:dyDescent="0.2">
      <c r="C101" s="13" t="s">
        <v>6</v>
      </c>
      <c r="D101" s="5">
        <f>COMBIN($C$100,D100)/COMBIN($C$1,D100)</f>
        <v>0.29166666666666669</v>
      </c>
      <c r="E101" s="36">
        <f>COMBIN($C$100,E100)/COMBIN($C$1,E100)</f>
        <v>7.6086956521739135E-2</v>
      </c>
      <c r="F101" s="36">
        <f>COMBIN($C$100,F100)/COMBIN($C$1,F100)</f>
        <v>1.7292490118577072E-2</v>
      </c>
      <c r="G101" s="36">
        <f>COMBIN($C$100,G100)/COMBIN($C$1,G100)</f>
        <v>3.2938076416337285E-3</v>
      </c>
      <c r="H101" s="36">
        <f>COMBIN($C$100,H100)/COMBIN($C$1,H100)</f>
        <v>4.9407114624505936E-4</v>
      </c>
      <c r="I101" s="36">
        <f>COMBIN($C$100,I100)/COMBIN($C$1,I100)</f>
        <v>5.2007489078427285E-5</v>
      </c>
      <c r="J101" s="36">
        <f>COMBIN($C$100,J100)/COMBIN($C$1,J100)</f>
        <v>2.8893049488015161E-6</v>
      </c>
      <c r="K101" s="36"/>
      <c r="L101" s="16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1:28" s="10" customFormat="1" x14ac:dyDescent="0.2">
      <c r="C102" s="17" t="s">
        <v>7</v>
      </c>
      <c r="D102" s="37">
        <f>1/D101</f>
        <v>3.4285714285714284</v>
      </c>
      <c r="E102" s="10">
        <f t="shared" ref="E102:J102" si="51">1/E101</f>
        <v>13.142857142857142</v>
      </c>
      <c r="F102" s="10">
        <f t="shared" si="51"/>
        <v>57.828571428571436</v>
      </c>
      <c r="G102" s="10">
        <f t="shared" si="51"/>
        <v>303.60000000000002</v>
      </c>
      <c r="H102" s="10">
        <f t="shared" si="51"/>
        <v>2023.9999999999998</v>
      </c>
      <c r="I102" s="10">
        <f t="shared" si="51"/>
        <v>19228.000000000004</v>
      </c>
      <c r="J102" s="10">
        <f t="shared" si="51"/>
        <v>346104</v>
      </c>
      <c r="L102" s="1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1:28" s="10" customFormat="1" ht="16" thickBot="1" x14ac:dyDescent="0.25">
      <c r="C103" s="20" t="s">
        <v>8</v>
      </c>
      <c r="D103" s="11">
        <f>$F$1*D102</f>
        <v>3.2571428571428567</v>
      </c>
      <c r="E103" s="38">
        <f t="shared" ref="E103:J103" si="52">$F$1*E102</f>
        <v>12.485714285714284</v>
      </c>
      <c r="F103" s="38">
        <f t="shared" si="52"/>
        <v>54.937142857142859</v>
      </c>
      <c r="G103" s="38">
        <f t="shared" si="52"/>
        <v>288.42</v>
      </c>
      <c r="H103" s="38">
        <f t="shared" si="52"/>
        <v>1922.7999999999997</v>
      </c>
      <c r="I103" s="38">
        <f t="shared" si="52"/>
        <v>18266.600000000002</v>
      </c>
      <c r="J103" s="38">
        <f t="shared" si="52"/>
        <v>328798.8</v>
      </c>
      <c r="K103" s="38"/>
      <c r="L103" s="2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1:28" ht="16" thickBot="1" x14ac:dyDescent="0.25"/>
    <row r="105" spans="1:28" s="10" customFormat="1" ht="16" thickBot="1" x14ac:dyDescent="0.25">
      <c r="A105" s="5" t="s">
        <v>25</v>
      </c>
      <c r="B105" s="6" t="s">
        <v>3</v>
      </c>
      <c r="C105" s="7" t="s">
        <v>4</v>
      </c>
      <c r="D105" s="51" t="s">
        <v>5</v>
      </c>
      <c r="E105" s="52"/>
      <c r="F105" s="52"/>
      <c r="G105" s="52"/>
      <c r="H105" s="52"/>
      <c r="I105" s="52"/>
      <c r="J105" s="52"/>
      <c r="K105" s="53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1:28" s="10" customFormat="1" ht="16" thickBot="1" x14ac:dyDescent="0.25">
      <c r="A106" s="11"/>
      <c r="B106" s="7">
        <v>18</v>
      </c>
      <c r="C106" s="12">
        <f>$C$1-B106</f>
        <v>6</v>
      </c>
      <c r="D106" s="6">
        <v>1</v>
      </c>
      <c r="E106" s="8">
        <f>D106+1</f>
        <v>2</v>
      </c>
      <c r="F106" s="8">
        <f t="shared" ref="F106:K106" si="53">E106+1</f>
        <v>3</v>
      </c>
      <c r="G106" s="8">
        <f t="shared" si="53"/>
        <v>4</v>
      </c>
      <c r="H106" s="8">
        <f t="shared" si="53"/>
        <v>5</v>
      </c>
      <c r="I106" s="8">
        <f t="shared" si="53"/>
        <v>6</v>
      </c>
      <c r="J106" s="8">
        <f t="shared" si="53"/>
        <v>7</v>
      </c>
      <c r="K106" s="9">
        <f t="shared" si="53"/>
        <v>8</v>
      </c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1:28" s="10" customFormat="1" x14ac:dyDescent="0.2">
      <c r="C107" s="13" t="s">
        <v>6</v>
      </c>
      <c r="D107" s="5">
        <f>COMBIN($C$106,D106)/COMBIN($C$1,D106)</f>
        <v>0.25</v>
      </c>
      <c r="E107" s="36">
        <f>COMBIN($C$106,E106)/COMBIN($C$1,E106)</f>
        <v>5.434782608695652E-2</v>
      </c>
      <c r="F107" s="34">
        <f>COMBIN($C$106,F106)/COMBIN($C$1,F106)</f>
        <v>9.8814229249011842E-3</v>
      </c>
      <c r="G107" s="34">
        <f>COMBIN($C$106,G106)/COMBIN($C$1,G106)</f>
        <v>1.411631846414455E-3</v>
      </c>
      <c r="H107" s="34">
        <f>COMBIN($C$106,H106)/COMBIN($C$1,H106)</f>
        <v>1.4116318464144553E-4</v>
      </c>
      <c r="I107" s="36">
        <f>COMBIN($C$106,I106)/COMBIN($C$1,I106)</f>
        <v>7.4296412969181836E-6</v>
      </c>
      <c r="J107" s="36"/>
      <c r="K107" s="16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1:28" s="10" customFormat="1" x14ac:dyDescent="0.2">
      <c r="C108" s="17" t="s">
        <v>7</v>
      </c>
      <c r="D108" s="40">
        <f>1/D107</f>
        <v>4</v>
      </c>
      <c r="E108" s="41">
        <f t="shared" ref="E108:I108" si="54">1/E107</f>
        <v>18.400000000000002</v>
      </c>
      <c r="F108" s="41">
        <f t="shared" si="54"/>
        <v>101.20000000000002</v>
      </c>
      <c r="G108" s="41">
        <f t="shared" si="54"/>
        <v>708.40000000000009</v>
      </c>
      <c r="H108" s="41">
        <f t="shared" si="54"/>
        <v>7083.9999999999991</v>
      </c>
      <c r="I108" s="49">
        <f t="shared" si="54"/>
        <v>134596.00000000003</v>
      </c>
      <c r="J108" s="49"/>
      <c r="K108" s="12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1:28" s="10" customFormat="1" ht="16" thickBot="1" x14ac:dyDescent="0.25">
      <c r="C109" s="20" t="s">
        <v>8</v>
      </c>
      <c r="D109" s="30">
        <f>$F$1*D108</f>
        <v>3.8</v>
      </c>
      <c r="E109" s="31">
        <f t="shared" ref="E109:I109" si="55">$F$1*E108</f>
        <v>17.48</v>
      </c>
      <c r="F109" s="31">
        <f t="shared" si="55"/>
        <v>96.140000000000015</v>
      </c>
      <c r="G109" s="31">
        <f t="shared" si="55"/>
        <v>672.98</v>
      </c>
      <c r="H109" s="31">
        <f t="shared" si="55"/>
        <v>6729.7999999999993</v>
      </c>
      <c r="I109" s="50">
        <f t="shared" si="55"/>
        <v>127866.20000000003</v>
      </c>
      <c r="J109" s="50"/>
      <c r="K109" s="23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1:28" ht="16" thickBot="1" x14ac:dyDescent="0.25"/>
    <row r="111" spans="1:28" s="10" customFormat="1" ht="16" thickBot="1" x14ac:dyDescent="0.25">
      <c r="A111" s="5" t="s">
        <v>26</v>
      </c>
      <c r="B111" s="6" t="s">
        <v>3</v>
      </c>
      <c r="C111" s="7" t="s">
        <v>4</v>
      </c>
      <c r="D111" s="51" t="s">
        <v>5</v>
      </c>
      <c r="E111" s="52"/>
      <c r="F111" s="52"/>
      <c r="G111" s="52"/>
      <c r="H111" s="52"/>
      <c r="I111" s="52"/>
      <c r="J111" s="53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1:28" s="10" customFormat="1" ht="16" thickBot="1" x14ac:dyDescent="0.25">
      <c r="A112" s="11"/>
      <c r="B112" s="7">
        <v>19</v>
      </c>
      <c r="C112" s="12">
        <f>$C$1-B112</f>
        <v>5</v>
      </c>
      <c r="D112" s="6">
        <v>1</v>
      </c>
      <c r="E112" s="8">
        <f>D112+1</f>
        <v>2</v>
      </c>
      <c r="F112" s="8">
        <f t="shared" ref="F112:J112" si="56">E112+1</f>
        <v>3</v>
      </c>
      <c r="G112" s="8">
        <f t="shared" si="56"/>
        <v>4</v>
      </c>
      <c r="H112" s="8">
        <f t="shared" si="56"/>
        <v>5</v>
      </c>
      <c r="I112" s="8">
        <f t="shared" si="56"/>
        <v>6</v>
      </c>
      <c r="J112" s="9">
        <f t="shared" si="56"/>
        <v>7</v>
      </c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pans="1:28" s="10" customFormat="1" x14ac:dyDescent="0.2">
      <c r="C113" s="13" t="s">
        <v>6</v>
      </c>
      <c r="D113" s="5">
        <f>COMBIN($C$112,D112)/COMBIN($C$1,D112)</f>
        <v>0.20833333333333334</v>
      </c>
      <c r="E113" s="36">
        <f>COMBIN($C$112,E112)/COMBIN($C$1,E112)</f>
        <v>3.6231884057971016E-2</v>
      </c>
      <c r="F113" s="34">
        <f>COMBIN($C$112,F112)/COMBIN($C$1,F112)</f>
        <v>4.9407114624505921E-3</v>
      </c>
      <c r="G113" s="34">
        <f>COMBIN($C$112,G112)/COMBIN($C$1,G112)</f>
        <v>4.7054394880481837E-4</v>
      </c>
      <c r="H113" s="34">
        <f>COMBIN($C$112,H112)/COMBIN($C$1,H112)</f>
        <v>2.3527197440240921E-5</v>
      </c>
      <c r="I113" s="36"/>
      <c r="J113" s="16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pans="1:28" s="10" customFormat="1" x14ac:dyDescent="0.2">
      <c r="C114" s="17" t="s">
        <v>7</v>
      </c>
      <c r="D114" s="18">
        <f>1/D113</f>
        <v>4.8</v>
      </c>
      <c r="E114" s="49">
        <f t="shared" ref="E114:H114" si="57">1/E113</f>
        <v>27.599999999999998</v>
      </c>
      <c r="F114" s="10">
        <f t="shared" si="57"/>
        <v>202.40000000000003</v>
      </c>
      <c r="G114" s="10">
        <f t="shared" si="57"/>
        <v>2125.1999999999998</v>
      </c>
      <c r="H114" s="10">
        <f t="shared" si="57"/>
        <v>42503.999999999993</v>
      </c>
      <c r="J114" s="12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pans="1:28" s="10" customFormat="1" ht="16" thickBot="1" x14ac:dyDescent="0.25">
      <c r="C115" s="20" t="s">
        <v>8</v>
      </c>
      <c r="D115" s="11">
        <f>$F$1*D114</f>
        <v>4.5599999999999996</v>
      </c>
      <c r="E115" s="38">
        <f t="shared" ref="E115:H115" si="58">$F$1*E114</f>
        <v>26.219999999999995</v>
      </c>
      <c r="F115" s="38">
        <f t="shared" si="58"/>
        <v>192.28000000000003</v>
      </c>
      <c r="G115" s="38">
        <f t="shared" si="58"/>
        <v>2018.9399999999998</v>
      </c>
      <c r="H115" s="38">
        <f t="shared" si="58"/>
        <v>40378.799999999988</v>
      </c>
      <c r="I115" s="38"/>
      <c r="J115" s="23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1:28" ht="16" thickBot="1" x14ac:dyDescent="0.25"/>
    <row r="117" spans="1:28" s="10" customFormat="1" ht="16" thickBot="1" x14ac:dyDescent="0.25">
      <c r="A117" s="5" t="s">
        <v>27</v>
      </c>
      <c r="B117" s="6" t="s">
        <v>3</v>
      </c>
      <c r="C117" s="7" t="s">
        <v>4</v>
      </c>
      <c r="D117" s="51" t="s">
        <v>5</v>
      </c>
      <c r="E117" s="52"/>
      <c r="F117" s="52"/>
      <c r="G117" s="52"/>
      <c r="H117" s="52"/>
      <c r="I117" s="53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1:28" s="10" customFormat="1" ht="16" thickBot="1" x14ac:dyDescent="0.25">
      <c r="A118" s="11"/>
      <c r="B118" s="7">
        <v>20</v>
      </c>
      <c r="C118" s="12">
        <f>$C$1-B118</f>
        <v>4</v>
      </c>
      <c r="D118" s="6">
        <v>1</v>
      </c>
      <c r="E118" s="8">
        <f>D118+1</f>
        <v>2</v>
      </c>
      <c r="F118" s="8">
        <f t="shared" ref="F118:I118" si="59">E118+1</f>
        <v>3</v>
      </c>
      <c r="G118" s="8">
        <f t="shared" si="59"/>
        <v>4</v>
      </c>
      <c r="H118" s="8">
        <f t="shared" si="59"/>
        <v>5</v>
      </c>
      <c r="I118" s="9">
        <f t="shared" si="59"/>
        <v>6</v>
      </c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pans="1:28" s="10" customFormat="1" x14ac:dyDescent="0.2">
      <c r="C119" s="13" t="s">
        <v>6</v>
      </c>
      <c r="D119" s="33">
        <f>COMBIN($C$118,D118)/COMBIN($C$1,D118)</f>
        <v>0.16666666666666666</v>
      </c>
      <c r="E119" s="36">
        <f>COMBIN($C$118,E118)/COMBIN($C$1,E118)</f>
        <v>2.1739130434782608E-2</v>
      </c>
      <c r="F119" s="36">
        <f>COMBIN($C$118,F118)/COMBIN($C$1,F118)</f>
        <v>1.976284584980237E-3</v>
      </c>
      <c r="G119" s="36">
        <f>COMBIN($C$118,G118)/COMBIN($C$1,G118)</f>
        <v>9.4108789760963672E-5</v>
      </c>
      <c r="H119" s="36"/>
      <c r="I119" s="16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 spans="1:28" s="10" customFormat="1" x14ac:dyDescent="0.2">
      <c r="C120" s="17" t="s">
        <v>7</v>
      </c>
      <c r="D120" s="37">
        <f>1/D119</f>
        <v>6</v>
      </c>
      <c r="E120" s="10">
        <f t="shared" ref="E120:G120" si="60">1/E119</f>
        <v>46</v>
      </c>
      <c r="F120" s="10">
        <f t="shared" si="60"/>
        <v>506.00000000000006</v>
      </c>
      <c r="G120" s="10">
        <f t="shared" si="60"/>
        <v>10626</v>
      </c>
      <c r="I120" s="12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1:28" s="10" customFormat="1" ht="16" thickBot="1" x14ac:dyDescent="0.25">
      <c r="C121" s="20" t="s">
        <v>8</v>
      </c>
      <c r="D121" s="11">
        <f>$F$1*D120</f>
        <v>5.6999999999999993</v>
      </c>
      <c r="E121" s="38">
        <f t="shared" ref="E121:G121" si="61">$F$1*E120</f>
        <v>43.699999999999996</v>
      </c>
      <c r="F121" s="38">
        <f t="shared" si="61"/>
        <v>480.70000000000005</v>
      </c>
      <c r="G121" s="38">
        <f t="shared" si="61"/>
        <v>10094.699999999999</v>
      </c>
      <c r="H121" s="38"/>
      <c r="I121" s="23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</row>
    <row r="122" spans="1:28" ht="16" thickBot="1" x14ac:dyDescent="0.25"/>
    <row r="123" spans="1:28" s="10" customFormat="1" ht="16" thickBot="1" x14ac:dyDescent="0.25">
      <c r="A123" s="5" t="s">
        <v>28</v>
      </c>
      <c r="B123" s="6" t="s">
        <v>3</v>
      </c>
      <c r="C123" s="7" t="s">
        <v>4</v>
      </c>
      <c r="D123" s="51" t="s">
        <v>5</v>
      </c>
      <c r="E123" s="52"/>
      <c r="F123" s="52"/>
      <c r="G123" s="52"/>
      <c r="H123" s="5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</row>
    <row r="124" spans="1:28" s="10" customFormat="1" ht="16" thickBot="1" x14ac:dyDescent="0.25">
      <c r="A124" s="11"/>
      <c r="B124" s="7">
        <v>21</v>
      </c>
      <c r="C124" s="12">
        <f>$C$1-B124</f>
        <v>3</v>
      </c>
      <c r="D124" s="6">
        <v>1</v>
      </c>
      <c r="E124" s="8">
        <f>D124+1</f>
        <v>2</v>
      </c>
      <c r="F124" s="8">
        <f t="shared" ref="F124:H124" si="62">E124+1</f>
        <v>3</v>
      </c>
      <c r="G124" s="8">
        <f t="shared" si="62"/>
        <v>4</v>
      </c>
      <c r="H124" s="9">
        <f t="shared" si="62"/>
        <v>5</v>
      </c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</row>
    <row r="125" spans="1:28" s="10" customFormat="1" x14ac:dyDescent="0.2">
      <c r="C125" s="13" t="s">
        <v>6</v>
      </c>
      <c r="D125" s="5">
        <f>COMBIN($C$124,D124)/COMBIN($C$1,D124)</f>
        <v>0.125</v>
      </c>
      <c r="E125" s="36">
        <f>COMBIN($C$124,E124)/COMBIN($C$1,E124)</f>
        <v>1.0869565217391304E-2</v>
      </c>
      <c r="F125" s="36">
        <f>COMBIN($C$124,F124)/COMBIN($C$1,F124)</f>
        <v>4.9407114624505926E-4</v>
      </c>
      <c r="G125" s="36"/>
      <c r="H125" s="16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1:28" s="10" customFormat="1" x14ac:dyDescent="0.2">
      <c r="C126" s="17" t="s">
        <v>7</v>
      </c>
      <c r="D126" s="37">
        <f>1/D125</f>
        <v>8</v>
      </c>
      <c r="E126" s="10">
        <f t="shared" ref="E126:F126" si="63">1/E125</f>
        <v>92</v>
      </c>
      <c r="F126" s="10">
        <f t="shared" si="63"/>
        <v>2024.0000000000002</v>
      </c>
      <c r="H126" s="12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1:28" s="10" customFormat="1" ht="16" thickBot="1" x14ac:dyDescent="0.25">
      <c r="C127" s="20" t="s">
        <v>8</v>
      </c>
      <c r="D127" s="11">
        <f>$F$1*D126</f>
        <v>7.6</v>
      </c>
      <c r="E127" s="38">
        <f t="shared" ref="E127:F127" si="64">$F$1*E126</f>
        <v>87.399999999999991</v>
      </c>
      <c r="F127" s="38">
        <f t="shared" si="64"/>
        <v>1922.8000000000002</v>
      </c>
      <c r="G127" s="38"/>
      <c r="H127" s="23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spans="1:28" ht="16" thickBot="1" x14ac:dyDescent="0.25"/>
    <row r="129" spans="1:28" s="10" customFormat="1" ht="16" thickBot="1" x14ac:dyDescent="0.25">
      <c r="A129" s="5" t="s">
        <v>29</v>
      </c>
      <c r="B129" s="6" t="s">
        <v>3</v>
      </c>
      <c r="C129" s="7" t="s">
        <v>4</v>
      </c>
      <c r="D129" s="51" t="s">
        <v>5</v>
      </c>
      <c r="E129" s="52"/>
      <c r="F129" s="52"/>
      <c r="G129" s="53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</row>
    <row r="130" spans="1:28" s="10" customFormat="1" ht="16" thickBot="1" x14ac:dyDescent="0.25">
      <c r="A130" s="11"/>
      <c r="B130" s="7">
        <v>22</v>
      </c>
      <c r="C130" s="12">
        <f>$C$1-B130</f>
        <v>2</v>
      </c>
      <c r="D130" s="6">
        <v>1</v>
      </c>
      <c r="E130" s="8">
        <f>D130+1</f>
        <v>2</v>
      </c>
      <c r="F130" s="8">
        <f t="shared" ref="F130:G130" si="65">E130+1</f>
        <v>3</v>
      </c>
      <c r="G130" s="9">
        <f t="shared" si="65"/>
        <v>4</v>
      </c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pans="1:28" s="10" customFormat="1" x14ac:dyDescent="0.2">
      <c r="C131" s="13" t="s">
        <v>6</v>
      </c>
      <c r="D131" s="5">
        <f>COMBIN($C$130,D130)/COMBIN($C$1,D130)</f>
        <v>8.3333333333333329E-2</v>
      </c>
      <c r="E131" s="36">
        <f>COMBIN($C$130,E130)/COMBIN($C$1,E130)</f>
        <v>3.6231884057971015E-3</v>
      </c>
      <c r="F131" s="36"/>
      <c r="G131" s="16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</row>
    <row r="132" spans="1:28" s="10" customFormat="1" x14ac:dyDescent="0.2">
      <c r="C132" s="17" t="s">
        <v>7</v>
      </c>
      <c r="D132" s="37">
        <f>1/D131</f>
        <v>12</v>
      </c>
      <c r="E132" s="10">
        <f t="shared" ref="E132" si="66">1/E131</f>
        <v>276</v>
      </c>
      <c r="G132" s="1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spans="1:28" s="10" customFormat="1" ht="16" thickBot="1" x14ac:dyDescent="0.25">
      <c r="C133" s="20" t="s">
        <v>8</v>
      </c>
      <c r="D133" s="11">
        <f>$F$1*D132</f>
        <v>11.399999999999999</v>
      </c>
      <c r="E133" s="38">
        <f t="shared" ref="E133" si="67">$F$1*E132</f>
        <v>262.2</v>
      </c>
      <c r="F133" s="38"/>
      <c r="G133" s="2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1:28" ht="16" thickBot="1" x14ac:dyDescent="0.25"/>
    <row r="135" spans="1:28" s="10" customFormat="1" ht="16" thickBot="1" x14ac:dyDescent="0.25">
      <c r="A135" s="5" t="s">
        <v>30</v>
      </c>
      <c r="B135" s="6" t="s">
        <v>3</v>
      </c>
      <c r="C135" s="7" t="s">
        <v>4</v>
      </c>
      <c r="D135" s="51" t="s">
        <v>5</v>
      </c>
      <c r="E135" s="52"/>
      <c r="F135" s="53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1:28" s="10" customFormat="1" ht="16" thickBot="1" x14ac:dyDescent="0.25">
      <c r="A136" s="11"/>
      <c r="B136" s="7">
        <v>23</v>
      </c>
      <c r="C136" s="12">
        <f>$C$1-B136</f>
        <v>1</v>
      </c>
      <c r="D136" s="6">
        <v>1</v>
      </c>
      <c r="E136" s="8">
        <f>D136+1</f>
        <v>2</v>
      </c>
      <c r="F136" s="9">
        <f t="shared" ref="F136" si="68">E136+1</f>
        <v>3</v>
      </c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1:28" s="10" customFormat="1" x14ac:dyDescent="0.2">
      <c r="C137" s="13" t="s">
        <v>6</v>
      </c>
      <c r="D137" s="5">
        <f>COMBIN($C$136,D136)/COMBIN($C$1,D136)</f>
        <v>4.1666666666666664E-2</v>
      </c>
      <c r="E137" s="36"/>
      <c r="F137" s="16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1:28" s="10" customFormat="1" x14ac:dyDescent="0.2">
      <c r="C138" s="17" t="s">
        <v>7</v>
      </c>
      <c r="D138" s="37">
        <f>1/D137</f>
        <v>24</v>
      </c>
      <c r="F138" s="12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1:28" s="10" customFormat="1" ht="16" thickBot="1" x14ac:dyDescent="0.25">
      <c r="C139" s="20" t="s">
        <v>8</v>
      </c>
      <c r="D139" s="11">
        <f>$F$1*D138</f>
        <v>22.799999999999997</v>
      </c>
      <c r="E139" s="38"/>
      <c r="F139" s="23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1:28" ht="16" thickBot="1" x14ac:dyDescent="0.25"/>
    <row r="141" spans="1:28" ht="16" thickBot="1" x14ac:dyDescent="0.25">
      <c r="A141" s="5" t="s">
        <v>31</v>
      </c>
      <c r="B141" s="6" t="s">
        <v>3</v>
      </c>
      <c r="C141" s="7" t="s">
        <v>4</v>
      </c>
      <c r="D141" s="1" t="s">
        <v>5</v>
      </c>
      <c r="E141" s="2"/>
    </row>
    <row r="142" spans="1:28" ht="16" thickBot="1" x14ac:dyDescent="0.25">
      <c r="A142" s="11"/>
      <c r="B142" s="7">
        <v>24</v>
      </c>
      <c r="C142" s="12">
        <f>$C$1-B142</f>
        <v>0</v>
      </c>
      <c r="D142" s="6">
        <v>1</v>
      </c>
      <c r="E142" s="9">
        <f>D142+1</f>
        <v>2</v>
      </c>
    </row>
    <row r="143" spans="1:28" x14ac:dyDescent="0.2">
      <c r="A143" s="10"/>
      <c r="B143" s="10"/>
      <c r="C143" s="13" t="s">
        <v>6</v>
      </c>
      <c r="D143" s="5"/>
      <c r="E143" s="16"/>
    </row>
    <row r="144" spans="1:28" x14ac:dyDescent="0.2">
      <c r="A144" s="10"/>
      <c r="B144" s="10"/>
      <c r="C144" s="17" t="s">
        <v>7</v>
      </c>
      <c r="D144" s="37"/>
      <c r="E144" s="12"/>
    </row>
    <row r="145" spans="1:5" ht="16" thickBot="1" x14ac:dyDescent="0.25">
      <c r="A145" s="10"/>
      <c r="B145" s="10"/>
      <c r="C145" s="20" t="s">
        <v>8</v>
      </c>
      <c r="D145" s="11"/>
      <c r="E145" s="23"/>
    </row>
  </sheetData>
  <mergeCells count="23">
    <mergeCell ref="D33:W33"/>
    <mergeCell ref="D3:AB3"/>
    <mergeCell ref="D9:AA9"/>
    <mergeCell ref="D15:Z15"/>
    <mergeCell ref="D21:Y21"/>
    <mergeCell ref="D27:X27"/>
    <mergeCell ref="D105:K105"/>
    <mergeCell ref="D39:V39"/>
    <mergeCell ref="D45:U45"/>
    <mergeCell ref="D51:T51"/>
    <mergeCell ref="D57:S57"/>
    <mergeCell ref="D63:R63"/>
    <mergeCell ref="D69:Q69"/>
    <mergeCell ref="D75:P75"/>
    <mergeCell ref="D81:O81"/>
    <mergeCell ref="D87:N87"/>
    <mergeCell ref="D93:M93"/>
    <mergeCell ref="D99:L99"/>
    <mergeCell ref="D111:J111"/>
    <mergeCell ref="D117:I117"/>
    <mergeCell ref="D123:H123"/>
    <mergeCell ref="D129:G129"/>
    <mergeCell ref="D135:F13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00F44-34BC-438E-BE90-E6CDF83F263D}">
  <dimension ref="A1:AB145"/>
  <sheetViews>
    <sheetView zoomScale="94" zoomScaleNormal="80" workbookViewId="0">
      <selection activeCell="A9" sqref="A9:XFD9"/>
    </sheetView>
  </sheetViews>
  <sheetFormatPr baseColWidth="10" defaultColWidth="8.83203125" defaultRowHeight="15" x14ac:dyDescent="0.2"/>
  <cols>
    <col min="2" max="2" width="10.83203125" bestFit="1" customWidth="1"/>
    <col min="3" max="3" width="14.5" customWidth="1"/>
    <col min="4" max="5" width="10.6640625" customWidth="1"/>
    <col min="6" max="8" width="13" bestFit="1" customWidth="1"/>
    <col min="9" max="9" width="13.1640625" bestFit="1" customWidth="1"/>
    <col min="10" max="11" width="14.5" bestFit="1" customWidth="1"/>
    <col min="12" max="12" width="15.5" bestFit="1" customWidth="1"/>
    <col min="13" max="13" width="13.1640625" bestFit="1" customWidth="1"/>
    <col min="14" max="16" width="14.5" bestFit="1" customWidth="1"/>
    <col min="17" max="17" width="15.5" bestFit="1" customWidth="1"/>
    <col min="18" max="18" width="16.5" bestFit="1" customWidth="1"/>
    <col min="19" max="19" width="17.5" bestFit="1" customWidth="1"/>
    <col min="20" max="20" width="15.5" bestFit="1" customWidth="1"/>
    <col min="21" max="21" width="14.5" bestFit="1" customWidth="1"/>
    <col min="22" max="22" width="12.5" bestFit="1" customWidth="1"/>
    <col min="23" max="23" width="13.1640625" bestFit="1" customWidth="1"/>
    <col min="24" max="24" width="12.33203125" bestFit="1" customWidth="1"/>
    <col min="25" max="25" width="12.1640625" bestFit="1" customWidth="1"/>
    <col min="26" max="27" width="13.1640625" bestFit="1" customWidth="1"/>
  </cols>
  <sheetData>
    <row r="1" spans="1:28" ht="16" thickBot="1" x14ac:dyDescent="0.25">
      <c r="B1" s="1" t="s">
        <v>0</v>
      </c>
      <c r="C1" s="2">
        <v>24</v>
      </c>
      <c r="E1" s="3" t="s">
        <v>1</v>
      </c>
      <c r="F1" s="4">
        <v>0.97</v>
      </c>
    </row>
    <row r="2" spans="1:28" ht="16" thickBot="1" x14ac:dyDescent="0.25"/>
    <row r="3" spans="1:28" s="10" customFormat="1" ht="16" thickBot="1" x14ac:dyDescent="0.25">
      <c r="A3" s="5" t="s">
        <v>2</v>
      </c>
      <c r="B3" s="6" t="s">
        <v>3</v>
      </c>
      <c r="C3" s="7" t="s">
        <v>4</v>
      </c>
      <c r="D3" s="51" t="s">
        <v>5</v>
      </c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3"/>
    </row>
    <row r="4" spans="1:28" s="10" customFormat="1" ht="16" thickBot="1" x14ac:dyDescent="0.25">
      <c r="A4" s="11"/>
      <c r="B4" s="7">
        <v>1</v>
      </c>
      <c r="C4" s="12">
        <f>$C$1-B4</f>
        <v>23</v>
      </c>
      <c r="D4" s="6">
        <v>1</v>
      </c>
      <c r="E4" s="8">
        <f>D4+1</f>
        <v>2</v>
      </c>
      <c r="F4" s="8">
        <f t="shared" ref="F4:AB4" si="0">E4+1</f>
        <v>3</v>
      </c>
      <c r="G4" s="8">
        <f t="shared" si="0"/>
        <v>4</v>
      </c>
      <c r="H4" s="8">
        <f t="shared" si="0"/>
        <v>5</v>
      </c>
      <c r="I4" s="8">
        <f t="shared" si="0"/>
        <v>6</v>
      </c>
      <c r="J4" s="8">
        <f t="shared" si="0"/>
        <v>7</v>
      </c>
      <c r="K4" s="8">
        <f t="shared" si="0"/>
        <v>8</v>
      </c>
      <c r="L4" s="8">
        <f t="shared" si="0"/>
        <v>9</v>
      </c>
      <c r="M4" s="8">
        <f t="shared" si="0"/>
        <v>10</v>
      </c>
      <c r="N4" s="8">
        <f t="shared" si="0"/>
        <v>11</v>
      </c>
      <c r="O4" s="8">
        <f t="shared" si="0"/>
        <v>12</v>
      </c>
      <c r="P4" s="8">
        <f t="shared" si="0"/>
        <v>13</v>
      </c>
      <c r="Q4" s="8">
        <f t="shared" si="0"/>
        <v>14</v>
      </c>
      <c r="R4" s="8">
        <f t="shared" si="0"/>
        <v>15</v>
      </c>
      <c r="S4" s="8">
        <f t="shared" si="0"/>
        <v>16</v>
      </c>
      <c r="T4" s="8">
        <f t="shared" si="0"/>
        <v>17</v>
      </c>
      <c r="U4" s="8">
        <f t="shared" si="0"/>
        <v>18</v>
      </c>
      <c r="V4" s="8">
        <f t="shared" si="0"/>
        <v>19</v>
      </c>
      <c r="W4" s="8">
        <f t="shared" si="0"/>
        <v>20</v>
      </c>
      <c r="X4" s="8">
        <f t="shared" si="0"/>
        <v>21</v>
      </c>
      <c r="Y4" s="8">
        <f t="shared" si="0"/>
        <v>22</v>
      </c>
      <c r="Z4" s="8">
        <f t="shared" si="0"/>
        <v>23</v>
      </c>
      <c r="AA4" s="8">
        <f t="shared" si="0"/>
        <v>24</v>
      </c>
      <c r="AB4" s="9">
        <f t="shared" si="0"/>
        <v>25</v>
      </c>
    </row>
    <row r="5" spans="1:28" s="10" customFormat="1" x14ac:dyDescent="0.2">
      <c r="C5" s="13" t="s">
        <v>6</v>
      </c>
      <c r="D5" s="14">
        <f>COMBIN($C$4,D4)/COMBIN($C$1,D4)</f>
        <v>0.95833333333333337</v>
      </c>
      <c r="E5" s="15">
        <f t="shared" ref="E5:Z5" si="1">COMBIN($C$4,E4)/COMBIN($C$1,E4)</f>
        <v>0.91666666666666663</v>
      </c>
      <c r="F5" s="15">
        <f t="shared" si="1"/>
        <v>0.87499999999999989</v>
      </c>
      <c r="G5" s="15">
        <f t="shared" si="1"/>
        <v>0.83333333333333337</v>
      </c>
      <c r="H5" s="15">
        <f t="shared" si="1"/>
        <v>0.79166666666666696</v>
      </c>
      <c r="I5" s="15">
        <f t="shared" si="1"/>
        <v>0.74999999999999989</v>
      </c>
      <c r="J5" s="15">
        <f t="shared" si="1"/>
        <v>0.70833333333333337</v>
      </c>
      <c r="K5" s="15">
        <f t="shared" si="1"/>
        <v>0.66666666666666663</v>
      </c>
      <c r="L5" s="15">
        <f t="shared" si="1"/>
        <v>0.625</v>
      </c>
      <c r="M5" s="15">
        <f t="shared" si="1"/>
        <v>0.58333333333333348</v>
      </c>
      <c r="N5" s="15">
        <f t="shared" si="1"/>
        <v>0.54166666666666663</v>
      </c>
      <c r="O5" s="15">
        <f t="shared" si="1"/>
        <v>0.49999999999999989</v>
      </c>
      <c r="P5" s="15">
        <f t="shared" si="1"/>
        <v>0.45833333333333331</v>
      </c>
      <c r="Q5" s="15">
        <f t="shared" si="1"/>
        <v>0.41666666666666669</v>
      </c>
      <c r="R5" s="15">
        <f t="shared" si="1"/>
        <v>0.375</v>
      </c>
      <c r="S5" s="15">
        <f t="shared" si="1"/>
        <v>0.33333333333333331</v>
      </c>
      <c r="T5" s="15">
        <f t="shared" si="1"/>
        <v>0.29166666666666669</v>
      </c>
      <c r="U5" s="15">
        <f t="shared" si="1"/>
        <v>0.25</v>
      </c>
      <c r="V5" s="15">
        <f t="shared" si="1"/>
        <v>0.20833333333333337</v>
      </c>
      <c r="W5" s="15">
        <f t="shared" si="1"/>
        <v>0.16666666666666666</v>
      </c>
      <c r="X5" s="15">
        <f t="shared" si="1"/>
        <v>0.12499999999999999</v>
      </c>
      <c r="Y5" s="15">
        <f t="shared" si="1"/>
        <v>8.3333333333333329E-2</v>
      </c>
      <c r="Z5" s="15">
        <f t="shared" si="1"/>
        <v>4.1666666666666664E-2</v>
      </c>
      <c r="AA5" s="15"/>
      <c r="AB5" s="16"/>
    </row>
    <row r="6" spans="1:28" s="10" customFormat="1" x14ac:dyDescent="0.2">
      <c r="C6" s="17" t="s">
        <v>7</v>
      </c>
      <c r="D6" s="18">
        <f>1/D5</f>
        <v>1.0434782608695652</v>
      </c>
      <c r="E6" s="19">
        <f t="shared" ref="E6:Z6" si="2">1/E5</f>
        <v>1.0909090909090911</v>
      </c>
      <c r="F6" s="19">
        <f t="shared" si="2"/>
        <v>1.142857142857143</v>
      </c>
      <c r="G6" s="19">
        <f t="shared" si="2"/>
        <v>1.2</v>
      </c>
      <c r="H6" s="19">
        <f t="shared" si="2"/>
        <v>1.2631578947368416</v>
      </c>
      <c r="I6" s="19">
        <f t="shared" si="2"/>
        <v>1.3333333333333335</v>
      </c>
      <c r="J6" s="19">
        <f t="shared" si="2"/>
        <v>1.4117647058823528</v>
      </c>
      <c r="K6" s="19">
        <f t="shared" si="2"/>
        <v>1.5</v>
      </c>
      <c r="L6" s="19">
        <f t="shared" si="2"/>
        <v>1.6</v>
      </c>
      <c r="M6" s="19">
        <f t="shared" si="2"/>
        <v>1.7142857142857137</v>
      </c>
      <c r="N6" s="19">
        <f t="shared" si="2"/>
        <v>1.8461538461538463</v>
      </c>
      <c r="O6" s="19">
        <f t="shared" si="2"/>
        <v>2.0000000000000004</v>
      </c>
      <c r="P6" s="19">
        <f t="shared" si="2"/>
        <v>2.1818181818181821</v>
      </c>
      <c r="Q6" s="19">
        <f t="shared" si="2"/>
        <v>2.4</v>
      </c>
      <c r="R6" s="19">
        <f t="shared" si="2"/>
        <v>2.6666666666666665</v>
      </c>
      <c r="S6" s="19">
        <f t="shared" si="2"/>
        <v>3</v>
      </c>
      <c r="T6" s="19">
        <f t="shared" si="2"/>
        <v>3.4285714285714284</v>
      </c>
      <c r="U6" s="19">
        <f t="shared" si="2"/>
        <v>4</v>
      </c>
      <c r="V6" s="19">
        <f t="shared" si="2"/>
        <v>4.7999999999999989</v>
      </c>
      <c r="W6" s="19">
        <f t="shared" si="2"/>
        <v>6</v>
      </c>
      <c r="X6" s="19">
        <f t="shared" si="2"/>
        <v>8.0000000000000018</v>
      </c>
      <c r="Y6" s="19">
        <f t="shared" si="2"/>
        <v>12</v>
      </c>
      <c r="Z6" s="19">
        <f t="shared" si="2"/>
        <v>24</v>
      </c>
      <c r="AA6" s="19"/>
      <c r="AB6" s="12"/>
    </row>
    <row r="7" spans="1:28" s="10" customFormat="1" ht="16" thickBot="1" x14ac:dyDescent="0.25">
      <c r="C7" s="20" t="s">
        <v>8</v>
      </c>
      <c r="D7" s="21">
        <f>$F$1*D6</f>
        <v>1.0121739130434781</v>
      </c>
      <c r="E7" s="22">
        <f t="shared" ref="E7:Z7" si="3">$F$1*E6</f>
        <v>1.0581818181818183</v>
      </c>
      <c r="F7" s="22">
        <f t="shared" si="3"/>
        <v>1.1085714285714288</v>
      </c>
      <c r="G7" s="22">
        <f t="shared" si="3"/>
        <v>1.1639999999999999</v>
      </c>
      <c r="H7" s="22">
        <f t="shared" si="3"/>
        <v>1.2252631578947364</v>
      </c>
      <c r="I7" s="22">
        <f t="shared" si="3"/>
        <v>1.2933333333333334</v>
      </c>
      <c r="J7" s="22">
        <f t="shared" si="3"/>
        <v>1.3694117647058821</v>
      </c>
      <c r="K7" s="22">
        <f t="shared" si="3"/>
        <v>1.4550000000000001</v>
      </c>
      <c r="L7" s="22">
        <f t="shared" si="3"/>
        <v>1.552</v>
      </c>
      <c r="M7" s="22">
        <f t="shared" si="3"/>
        <v>1.6628571428571424</v>
      </c>
      <c r="N7" s="22">
        <f t="shared" si="3"/>
        <v>1.7907692307692309</v>
      </c>
      <c r="O7" s="22">
        <f t="shared" si="3"/>
        <v>1.9400000000000004</v>
      </c>
      <c r="P7" s="22">
        <f t="shared" si="3"/>
        <v>2.1163636363636367</v>
      </c>
      <c r="Q7" s="22">
        <f t="shared" si="3"/>
        <v>2.3279999999999998</v>
      </c>
      <c r="R7" s="22">
        <f t="shared" si="3"/>
        <v>2.5866666666666664</v>
      </c>
      <c r="S7" s="22">
        <f t="shared" si="3"/>
        <v>2.91</v>
      </c>
      <c r="T7" s="22">
        <f t="shared" si="3"/>
        <v>3.3257142857142856</v>
      </c>
      <c r="U7" s="22">
        <f t="shared" si="3"/>
        <v>3.88</v>
      </c>
      <c r="V7" s="22">
        <f t="shared" si="3"/>
        <v>4.6559999999999988</v>
      </c>
      <c r="W7" s="22">
        <f t="shared" si="3"/>
        <v>5.82</v>
      </c>
      <c r="X7" s="22">
        <f t="shared" si="3"/>
        <v>7.7600000000000016</v>
      </c>
      <c r="Y7" s="22">
        <f t="shared" si="3"/>
        <v>11.64</v>
      </c>
      <c r="Z7" s="22">
        <f t="shared" si="3"/>
        <v>23.28</v>
      </c>
      <c r="AA7" s="22"/>
      <c r="AB7" s="23"/>
    </row>
    <row r="8" spans="1:28" ht="16" thickBot="1" x14ac:dyDescent="0.25"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28" s="10" customFormat="1" ht="16" thickBot="1" x14ac:dyDescent="0.25">
      <c r="A9" s="5" t="s">
        <v>9</v>
      </c>
      <c r="B9" s="6" t="s">
        <v>3</v>
      </c>
      <c r="C9" s="7" t="s">
        <v>4</v>
      </c>
      <c r="D9" s="54" t="s">
        <v>5</v>
      </c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6"/>
      <c r="AB9"/>
    </row>
    <row r="10" spans="1:28" s="10" customFormat="1" ht="16" thickBot="1" x14ac:dyDescent="0.25">
      <c r="A10" s="11"/>
      <c r="B10" s="7">
        <v>2</v>
      </c>
      <c r="C10" s="12">
        <f>$C$1-B10</f>
        <v>22</v>
      </c>
      <c r="D10" s="25">
        <v>1</v>
      </c>
      <c r="E10" s="26">
        <f>D10+1</f>
        <v>2</v>
      </c>
      <c r="F10" s="26">
        <f t="shared" ref="F10:AA10" si="4">E10+1</f>
        <v>3</v>
      </c>
      <c r="G10" s="26">
        <f t="shared" si="4"/>
        <v>4</v>
      </c>
      <c r="H10" s="26">
        <f t="shared" si="4"/>
        <v>5</v>
      </c>
      <c r="I10" s="26">
        <f t="shared" si="4"/>
        <v>6</v>
      </c>
      <c r="J10" s="26">
        <f t="shared" si="4"/>
        <v>7</v>
      </c>
      <c r="K10" s="26">
        <f t="shared" si="4"/>
        <v>8</v>
      </c>
      <c r="L10" s="26">
        <f t="shared" si="4"/>
        <v>9</v>
      </c>
      <c r="M10" s="26">
        <f t="shared" si="4"/>
        <v>10</v>
      </c>
      <c r="N10" s="26">
        <f t="shared" si="4"/>
        <v>11</v>
      </c>
      <c r="O10" s="26">
        <f t="shared" si="4"/>
        <v>12</v>
      </c>
      <c r="P10" s="26">
        <f t="shared" si="4"/>
        <v>13</v>
      </c>
      <c r="Q10" s="26">
        <f t="shared" si="4"/>
        <v>14</v>
      </c>
      <c r="R10" s="26">
        <f t="shared" si="4"/>
        <v>15</v>
      </c>
      <c r="S10" s="26">
        <f t="shared" si="4"/>
        <v>16</v>
      </c>
      <c r="T10" s="26">
        <f t="shared" si="4"/>
        <v>17</v>
      </c>
      <c r="U10" s="26">
        <f t="shared" si="4"/>
        <v>18</v>
      </c>
      <c r="V10" s="26">
        <f t="shared" si="4"/>
        <v>19</v>
      </c>
      <c r="W10" s="26">
        <f t="shared" si="4"/>
        <v>20</v>
      </c>
      <c r="X10" s="26">
        <f t="shared" si="4"/>
        <v>21</v>
      </c>
      <c r="Y10" s="26">
        <f t="shared" si="4"/>
        <v>22</v>
      </c>
      <c r="Z10" s="26">
        <f t="shared" si="4"/>
        <v>23</v>
      </c>
      <c r="AA10" s="27">
        <f t="shared" si="4"/>
        <v>24</v>
      </c>
      <c r="AB10"/>
    </row>
    <row r="11" spans="1:28" s="10" customFormat="1" x14ac:dyDescent="0.2">
      <c r="C11" s="13" t="s">
        <v>6</v>
      </c>
      <c r="D11" s="14">
        <f>COMBIN($C$10,D10)/COMBIN($C$1,D10)</f>
        <v>0.91666666666666663</v>
      </c>
      <c r="E11" s="15">
        <f>COMBIN($C$10,E10)/COMBIN($C$1,E10)</f>
        <v>0.83695652173913049</v>
      </c>
      <c r="F11" s="15">
        <f>COMBIN($C$10,F10)/COMBIN($C$1,F10)</f>
        <v>0.76086956521739124</v>
      </c>
      <c r="G11" s="15">
        <f>COMBIN($C$10,G10)/COMBIN($C$1,G10)</f>
        <v>0.68840579710144922</v>
      </c>
      <c r="H11" s="15">
        <f>COMBIN($C$10,H10)/COMBIN($C$1,H10)</f>
        <v>0.61956521739130443</v>
      </c>
      <c r="I11" s="15">
        <f>COMBIN($C$10,I10)/COMBIN($C$1,I10)</f>
        <v>0.55434782608695643</v>
      </c>
      <c r="J11" s="15">
        <f>COMBIN($C$10,J10)/COMBIN($C$1,J10)</f>
        <v>0.49275362318840582</v>
      </c>
      <c r="K11" s="15">
        <f>COMBIN($C$10,K10)/COMBIN($C$1,K10)</f>
        <v>0.43478260869565216</v>
      </c>
      <c r="L11" s="15">
        <f>COMBIN($C$10,L10)/COMBIN($C$1,L10)</f>
        <v>0.38043478260869568</v>
      </c>
      <c r="M11" s="15">
        <f>COMBIN($C$10,M10)/COMBIN($C$1,M10)</f>
        <v>0.32971014492753631</v>
      </c>
      <c r="N11" s="15">
        <f>COMBIN($C$10,N10)/COMBIN($C$1,N10)</f>
        <v>0.28260869565217384</v>
      </c>
      <c r="O11" s="15">
        <f>COMBIN($C$10,O10)/COMBIN($C$1,O10)</f>
        <v>0.23913043478260865</v>
      </c>
      <c r="P11" s="15">
        <f>COMBIN($C$10,P10)/COMBIN($C$1,P10)</f>
        <v>0.19927536231884055</v>
      </c>
      <c r="Q11" s="15">
        <f>COMBIN($C$10,Q10)/COMBIN($C$1,Q10)</f>
        <v>0.16304347826086957</v>
      </c>
      <c r="R11" s="15">
        <f>COMBIN($C$10,R10)/COMBIN($C$1,R10)</f>
        <v>0.13043478260869565</v>
      </c>
      <c r="S11" s="15">
        <f>COMBIN($C$10,S10)/COMBIN($C$1,S10)</f>
        <v>0.10144927536231885</v>
      </c>
      <c r="T11" s="15">
        <f>COMBIN($C$10,T10)/COMBIN($C$1,T10)</f>
        <v>7.6086956521739135E-2</v>
      </c>
      <c r="U11" s="15">
        <f>COMBIN($C$10,U10)/COMBIN($C$1,U10)</f>
        <v>5.4347826086956513E-2</v>
      </c>
      <c r="V11" s="15">
        <f>COMBIN($C$10,V10)/COMBIN($C$1,V10)</f>
        <v>3.6231884057971023E-2</v>
      </c>
      <c r="W11" s="15">
        <f>COMBIN($C$10,W10)/COMBIN($C$1,W10)</f>
        <v>2.1739130434782608E-2</v>
      </c>
      <c r="X11" s="15">
        <f>COMBIN($C$10,X10)/COMBIN($C$1,X10)</f>
        <v>1.0869565217391302E-2</v>
      </c>
      <c r="Y11" s="15">
        <f>COMBIN($C$10,Y10)/COMBIN($C$1,Y10)</f>
        <v>3.6231884057971015E-3</v>
      </c>
      <c r="Z11" s="15"/>
      <c r="AA11" s="28"/>
      <c r="AB11"/>
    </row>
    <row r="12" spans="1:28" s="10" customFormat="1" x14ac:dyDescent="0.2">
      <c r="C12" s="17" t="s">
        <v>7</v>
      </c>
      <c r="D12" s="18">
        <f>1/D11</f>
        <v>1.0909090909090911</v>
      </c>
      <c r="E12" s="19">
        <f t="shared" ref="E12:Y12" si="5">1/E11</f>
        <v>1.1948051948051948</v>
      </c>
      <c r="F12" s="19">
        <f t="shared" si="5"/>
        <v>1.3142857142857145</v>
      </c>
      <c r="G12" s="19">
        <f t="shared" si="5"/>
        <v>1.4526315789473685</v>
      </c>
      <c r="H12" s="19">
        <f t="shared" si="5"/>
        <v>1.6140350877192979</v>
      </c>
      <c r="I12" s="19">
        <f t="shared" si="5"/>
        <v>1.8039215686274512</v>
      </c>
      <c r="J12" s="19">
        <f t="shared" si="5"/>
        <v>2.0294117647058822</v>
      </c>
      <c r="K12" s="19">
        <f t="shared" si="5"/>
        <v>2.3000000000000003</v>
      </c>
      <c r="L12" s="19">
        <f t="shared" si="5"/>
        <v>2.6285714285714286</v>
      </c>
      <c r="M12" s="19">
        <f t="shared" si="5"/>
        <v>3.0329670329670324</v>
      </c>
      <c r="N12" s="19">
        <f t="shared" si="5"/>
        <v>3.5384615384615392</v>
      </c>
      <c r="O12" s="19">
        <f t="shared" si="5"/>
        <v>4.1818181818181825</v>
      </c>
      <c r="P12" s="19">
        <f t="shared" si="5"/>
        <v>5.0181818181818185</v>
      </c>
      <c r="Q12" s="19">
        <f t="shared" si="5"/>
        <v>6.1333333333333329</v>
      </c>
      <c r="R12" s="19">
        <f t="shared" si="5"/>
        <v>7.666666666666667</v>
      </c>
      <c r="S12" s="19">
        <f t="shared" si="5"/>
        <v>9.8571428571428559</v>
      </c>
      <c r="T12" s="19">
        <f t="shared" si="5"/>
        <v>13.142857142857142</v>
      </c>
      <c r="U12" s="19">
        <f t="shared" si="5"/>
        <v>18.400000000000002</v>
      </c>
      <c r="V12" s="19">
        <f t="shared" si="5"/>
        <v>27.599999999999994</v>
      </c>
      <c r="W12" s="19">
        <f t="shared" si="5"/>
        <v>46</v>
      </c>
      <c r="X12" s="19">
        <f t="shared" si="5"/>
        <v>92.000000000000014</v>
      </c>
      <c r="Y12" s="19">
        <f t="shared" si="5"/>
        <v>276</v>
      </c>
      <c r="Z12" s="19"/>
      <c r="AA12" s="29"/>
      <c r="AB12"/>
    </row>
    <row r="13" spans="1:28" s="10" customFormat="1" ht="16" thickBot="1" x14ac:dyDescent="0.25">
      <c r="C13" s="20" t="s">
        <v>8</v>
      </c>
      <c r="D13" s="30">
        <f>$F$1*D12</f>
        <v>1.0581818181818183</v>
      </c>
      <c r="E13" s="31">
        <f t="shared" ref="E13:Y13" si="6">$F$1*E12</f>
        <v>1.158961038961039</v>
      </c>
      <c r="F13" s="31">
        <f t="shared" si="6"/>
        <v>1.2748571428571431</v>
      </c>
      <c r="G13" s="31">
        <f t="shared" si="6"/>
        <v>1.4090526315789473</v>
      </c>
      <c r="H13" s="31">
        <f t="shared" si="6"/>
        <v>1.565614035087719</v>
      </c>
      <c r="I13" s="31">
        <f t="shared" si="6"/>
        <v>1.7498039215686276</v>
      </c>
      <c r="J13" s="31">
        <f t="shared" si="6"/>
        <v>1.9685294117647056</v>
      </c>
      <c r="K13" s="31">
        <f t="shared" si="6"/>
        <v>2.2310000000000003</v>
      </c>
      <c r="L13" s="31">
        <f t="shared" si="6"/>
        <v>2.5497142857142858</v>
      </c>
      <c r="M13" s="31">
        <f t="shared" si="6"/>
        <v>2.9419780219780214</v>
      </c>
      <c r="N13" s="31">
        <f t="shared" si="6"/>
        <v>3.4323076923076927</v>
      </c>
      <c r="O13" s="31">
        <f t="shared" si="6"/>
        <v>4.0563636363636366</v>
      </c>
      <c r="P13" s="31">
        <f t="shared" si="6"/>
        <v>4.8676363636363638</v>
      </c>
      <c r="Q13" s="31">
        <f t="shared" si="6"/>
        <v>5.9493333333333327</v>
      </c>
      <c r="R13" s="31">
        <f t="shared" si="6"/>
        <v>7.4366666666666665</v>
      </c>
      <c r="S13" s="31">
        <f t="shared" si="6"/>
        <v>9.5614285714285696</v>
      </c>
      <c r="T13" s="31">
        <f t="shared" si="6"/>
        <v>12.748571428571427</v>
      </c>
      <c r="U13" s="31">
        <f t="shared" si="6"/>
        <v>17.848000000000003</v>
      </c>
      <c r="V13" s="31">
        <f t="shared" si="6"/>
        <v>26.771999999999995</v>
      </c>
      <c r="W13" s="31">
        <f t="shared" si="6"/>
        <v>44.62</v>
      </c>
      <c r="X13" s="31">
        <f t="shared" si="6"/>
        <v>89.240000000000009</v>
      </c>
      <c r="Y13" s="31">
        <f t="shared" si="6"/>
        <v>267.71999999999997</v>
      </c>
      <c r="Z13" s="31"/>
      <c r="AA13" s="32"/>
      <c r="AB13"/>
    </row>
    <row r="14" spans="1:28" ht="16" thickBot="1" x14ac:dyDescent="0.25"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28" s="10" customFormat="1" ht="16" thickBot="1" x14ac:dyDescent="0.25">
      <c r="A15" s="5" t="s">
        <v>10</v>
      </c>
      <c r="B15" s="6" t="s">
        <v>3</v>
      </c>
      <c r="C15" s="7" t="s">
        <v>4</v>
      </c>
      <c r="D15" s="54" t="s">
        <v>5</v>
      </c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6"/>
      <c r="AA15" s="24"/>
      <c r="AB15"/>
    </row>
    <row r="16" spans="1:28" s="10" customFormat="1" ht="16" thickBot="1" x14ac:dyDescent="0.25">
      <c r="A16" s="11"/>
      <c r="B16" s="7">
        <v>3</v>
      </c>
      <c r="C16" s="12">
        <f>$C$1-B16</f>
        <v>21</v>
      </c>
      <c r="D16" s="25">
        <v>1</v>
      </c>
      <c r="E16" s="26">
        <f>D16+1</f>
        <v>2</v>
      </c>
      <c r="F16" s="26">
        <f t="shared" ref="F16:Z16" si="7">E16+1</f>
        <v>3</v>
      </c>
      <c r="G16" s="26">
        <f t="shared" si="7"/>
        <v>4</v>
      </c>
      <c r="H16" s="26">
        <f t="shared" si="7"/>
        <v>5</v>
      </c>
      <c r="I16" s="26">
        <f t="shared" si="7"/>
        <v>6</v>
      </c>
      <c r="J16" s="26">
        <f t="shared" si="7"/>
        <v>7</v>
      </c>
      <c r="K16" s="26">
        <f t="shared" si="7"/>
        <v>8</v>
      </c>
      <c r="L16" s="26">
        <f t="shared" si="7"/>
        <v>9</v>
      </c>
      <c r="M16" s="26">
        <f t="shared" si="7"/>
        <v>10</v>
      </c>
      <c r="N16" s="26">
        <f t="shared" si="7"/>
        <v>11</v>
      </c>
      <c r="O16" s="26">
        <f t="shared" si="7"/>
        <v>12</v>
      </c>
      <c r="P16" s="26">
        <f t="shared" si="7"/>
        <v>13</v>
      </c>
      <c r="Q16" s="26">
        <f t="shared" si="7"/>
        <v>14</v>
      </c>
      <c r="R16" s="26">
        <f t="shared" si="7"/>
        <v>15</v>
      </c>
      <c r="S16" s="26">
        <f t="shared" si="7"/>
        <v>16</v>
      </c>
      <c r="T16" s="26">
        <f t="shared" si="7"/>
        <v>17</v>
      </c>
      <c r="U16" s="26">
        <f t="shared" si="7"/>
        <v>18</v>
      </c>
      <c r="V16" s="26">
        <f t="shared" si="7"/>
        <v>19</v>
      </c>
      <c r="W16" s="26">
        <f t="shared" si="7"/>
        <v>20</v>
      </c>
      <c r="X16" s="26">
        <f t="shared" si="7"/>
        <v>21</v>
      </c>
      <c r="Y16" s="26">
        <f t="shared" si="7"/>
        <v>22</v>
      </c>
      <c r="Z16" s="27">
        <f t="shared" si="7"/>
        <v>23</v>
      </c>
      <c r="AA16" s="24"/>
      <c r="AB16"/>
    </row>
    <row r="17" spans="1:28" s="10" customFormat="1" x14ac:dyDescent="0.2">
      <c r="C17" s="13" t="s">
        <v>6</v>
      </c>
      <c r="D17" s="14">
        <f>COMBIN($C$16,D16)/COMBIN($C$1,D16)</f>
        <v>0.875</v>
      </c>
      <c r="E17" s="15">
        <f>COMBIN($C$16,E16)/COMBIN($C$1,E16)</f>
        <v>0.76086956521739135</v>
      </c>
      <c r="F17" s="15">
        <f>COMBIN($C$16,F16)/COMBIN($C$1,F16)</f>
        <v>0.65711462450592883</v>
      </c>
      <c r="G17" s="15">
        <f>COMBIN($C$16,G16)/COMBIN($C$1,G16)</f>
        <v>0.56324110671936756</v>
      </c>
      <c r="H17" s="15">
        <f>COMBIN($C$16,H16)/COMBIN($C$1,H16)</f>
        <v>0.47875494071146252</v>
      </c>
      <c r="I17" s="15">
        <f>COMBIN($C$16,I16)/COMBIN($C$1,I16)</f>
        <v>0.40316205533596827</v>
      </c>
      <c r="J17" s="15">
        <f>COMBIN($C$16,J16)/COMBIN($C$1,J16)</f>
        <v>0.33596837944664032</v>
      </c>
      <c r="K17" s="15">
        <f>COMBIN($C$16,K16)/COMBIN($C$1,K16)</f>
        <v>0.27667984189723321</v>
      </c>
      <c r="L17" s="15">
        <f>COMBIN($C$16,L16)/COMBIN($C$1,L16)</f>
        <v>0.22480237154150201</v>
      </c>
      <c r="M17" s="15">
        <f>COMBIN($C$16,M16)/COMBIN($C$1,M16)</f>
        <v>0.17984189723320157</v>
      </c>
      <c r="N17" s="15">
        <f>COMBIN($C$16,N16)/COMBIN($C$1,N16)</f>
        <v>0.14130434782608692</v>
      </c>
      <c r="O17" s="15">
        <f>COMBIN($C$16,O16)/COMBIN($C$1,O16)</f>
        <v>0.10869565217391303</v>
      </c>
      <c r="P17" s="15">
        <f>COMBIN($C$16,P16)/COMBIN($C$1,P16)</f>
        <v>8.152173913043477E-2</v>
      </c>
      <c r="Q17" s="15">
        <f>COMBIN($C$16,Q16)/COMBIN($C$1,Q16)</f>
        <v>5.9288537549407112E-2</v>
      </c>
      <c r="R17" s="15">
        <f>COMBIN($C$16,R16)/COMBIN($C$1,R16)</f>
        <v>4.1501976284584984E-2</v>
      </c>
      <c r="S17" s="15">
        <f>COMBIN($C$16,S16)/COMBIN($C$1,S16)</f>
        <v>2.766798418972332E-2</v>
      </c>
      <c r="T17" s="15">
        <f>COMBIN($C$16,T16)/COMBIN($C$1,T16)</f>
        <v>1.7292490118577076E-2</v>
      </c>
      <c r="U17" s="15">
        <f>COMBIN($C$16,U16)/COMBIN($C$1,U16)</f>
        <v>9.8814229249011842E-3</v>
      </c>
      <c r="V17" s="15">
        <f>COMBIN($C$16,V16)/COMBIN($C$1,V16)</f>
        <v>4.9407114624505939E-3</v>
      </c>
      <c r="W17" s="15">
        <f>COMBIN($C$16,W16)/COMBIN($C$1,W16)</f>
        <v>1.976284584980237E-3</v>
      </c>
      <c r="X17" s="15">
        <f>COMBIN($C$16,X16)/COMBIN($C$1,X16)</f>
        <v>4.9407114624505926E-4</v>
      </c>
      <c r="Y17" s="15"/>
      <c r="Z17" s="28"/>
      <c r="AA17" s="24"/>
      <c r="AB17"/>
    </row>
    <row r="18" spans="1:28" s="10" customFormat="1" x14ac:dyDescent="0.2">
      <c r="C18" s="17" t="s">
        <v>7</v>
      </c>
      <c r="D18" s="18">
        <f>1/D17</f>
        <v>1.1428571428571428</v>
      </c>
      <c r="E18" s="19">
        <f t="shared" ref="E18:X18" si="8">1/E17</f>
        <v>1.3142857142857143</v>
      </c>
      <c r="F18" s="19">
        <f t="shared" si="8"/>
        <v>1.5218045112781955</v>
      </c>
      <c r="G18" s="19">
        <f t="shared" si="8"/>
        <v>1.7754385964912283</v>
      </c>
      <c r="H18" s="19">
        <f t="shared" si="8"/>
        <v>2.0887512899896796</v>
      </c>
      <c r="I18" s="19">
        <f t="shared" si="8"/>
        <v>2.4803921568627456</v>
      </c>
      <c r="J18" s="19">
        <f t="shared" si="8"/>
        <v>2.9764705882352942</v>
      </c>
      <c r="K18" s="19">
        <f t="shared" si="8"/>
        <v>3.6142857142857143</v>
      </c>
      <c r="L18" s="19">
        <f t="shared" si="8"/>
        <v>4.4483516483516476</v>
      </c>
      <c r="M18" s="19">
        <f t="shared" si="8"/>
        <v>5.5604395604395611</v>
      </c>
      <c r="N18" s="19">
        <f t="shared" si="8"/>
        <v>7.0769230769230784</v>
      </c>
      <c r="O18" s="19">
        <f t="shared" si="8"/>
        <v>9.2000000000000011</v>
      </c>
      <c r="P18" s="19">
        <f t="shared" si="8"/>
        <v>12.266666666666669</v>
      </c>
      <c r="Q18" s="19">
        <f t="shared" si="8"/>
        <v>16.866666666666667</v>
      </c>
      <c r="R18" s="19">
        <f t="shared" si="8"/>
        <v>24.095238095238095</v>
      </c>
      <c r="S18" s="19">
        <f t="shared" si="8"/>
        <v>36.142857142857146</v>
      </c>
      <c r="T18" s="19">
        <f t="shared" si="8"/>
        <v>57.828571428571429</v>
      </c>
      <c r="U18" s="19">
        <f t="shared" si="8"/>
        <v>101.20000000000002</v>
      </c>
      <c r="V18" s="19">
        <f t="shared" si="8"/>
        <v>202.39999999999995</v>
      </c>
      <c r="W18" s="19">
        <f t="shared" si="8"/>
        <v>506.00000000000006</v>
      </c>
      <c r="X18" s="19">
        <f t="shared" si="8"/>
        <v>2024.0000000000002</v>
      </c>
      <c r="Y18" s="19"/>
      <c r="Z18" s="29"/>
      <c r="AA18" s="24"/>
      <c r="AB18"/>
    </row>
    <row r="19" spans="1:28" s="10" customFormat="1" ht="16" thickBot="1" x14ac:dyDescent="0.25">
      <c r="C19" s="20" t="s">
        <v>8</v>
      </c>
      <c r="D19" s="30">
        <f>$F$1*D18</f>
        <v>1.1085714285714285</v>
      </c>
      <c r="E19" s="31">
        <f t="shared" ref="E19:X19" si="9">$F$1*E18</f>
        <v>1.2748571428571429</v>
      </c>
      <c r="F19" s="31">
        <f t="shared" si="9"/>
        <v>1.4761503759398495</v>
      </c>
      <c r="G19" s="31">
        <f t="shared" si="9"/>
        <v>1.7221754385964914</v>
      </c>
      <c r="H19" s="31">
        <f t="shared" si="9"/>
        <v>2.026088751289989</v>
      </c>
      <c r="I19" s="31">
        <f t="shared" si="9"/>
        <v>2.405980392156863</v>
      </c>
      <c r="J19" s="31">
        <f t="shared" si="9"/>
        <v>2.8871764705882352</v>
      </c>
      <c r="K19" s="31">
        <f t="shared" si="9"/>
        <v>3.5058571428571428</v>
      </c>
      <c r="L19" s="31">
        <f t="shared" si="9"/>
        <v>4.3149010989010979</v>
      </c>
      <c r="M19" s="31">
        <f t="shared" si="9"/>
        <v>5.3936263736263745</v>
      </c>
      <c r="N19" s="31">
        <f t="shared" si="9"/>
        <v>6.8646153846153855</v>
      </c>
      <c r="O19" s="31">
        <f t="shared" si="9"/>
        <v>8.9240000000000013</v>
      </c>
      <c r="P19" s="31">
        <f t="shared" si="9"/>
        <v>11.898666666666669</v>
      </c>
      <c r="Q19" s="31">
        <f t="shared" si="9"/>
        <v>16.360666666666667</v>
      </c>
      <c r="R19" s="31">
        <f t="shared" si="9"/>
        <v>23.372380952380951</v>
      </c>
      <c r="S19" s="31">
        <f t="shared" si="9"/>
        <v>35.058571428571433</v>
      </c>
      <c r="T19" s="31">
        <f t="shared" si="9"/>
        <v>56.093714285714285</v>
      </c>
      <c r="U19" s="31">
        <f t="shared" si="9"/>
        <v>98.164000000000016</v>
      </c>
      <c r="V19" s="31">
        <f t="shared" si="9"/>
        <v>196.32799999999995</v>
      </c>
      <c r="W19" s="31">
        <f t="shared" si="9"/>
        <v>490.82000000000005</v>
      </c>
      <c r="X19" s="31">
        <f t="shared" si="9"/>
        <v>1963.2800000000002</v>
      </c>
      <c r="Y19" s="31"/>
      <c r="Z19" s="32"/>
      <c r="AA19" s="24"/>
      <c r="AB19"/>
    </row>
    <row r="20" spans="1:28" ht="16" thickBot="1" x14ac:dyDescent="0.25"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spans="1:28" s="10" customFormat="1" ht="16" thickBot="1" x14ac:dyDescent="0.25">
      <c r="A21" s="5" t="s">
        <v>11</v>
      </c>
      <c r="B21" s="6" t="s">
        <v>3</v>
      </c>
      <c r="C21" s="7" t="s">
        <v>4</v>
      </c>
      <c r="D21" s="54" t="s">
        <v>5</v>
      </c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6"/>
      <c r="Z21" s="24"/>
      <c r="AA21" s="24"/>
      <c r="AB21"/>
    </row>
    <row r="22" spans="1:28" s="10" customFormat="1" ht="16" thickBot="1" x14ac:dyDescent="0.25">
      <c r="A22" s="11"/>
      <c r="B22" s="7">
        <v>4</v>
      </c>
      <c r="C22" s="12">
        <f>$C$1-B22</f>
        <v>20</v>
      </c>
      <c r="D22" s="25">
        <v>1</v>
      </c>
      <c r="E22" s="26">
        <f>D22+1</f>
        <v>2</v>
      </c>
      <c r="F22" s="26">
        <f t="shared" ref="F22:Y22" si="10">E22+1</f>
        <v>3</v>
      </c>
      <c r="G22" s="26">
        <f t="shared" si="10"/>
        <v>4</v>
      </c>
      <c r="H22" s="26">
        <f t="shared" si="10"/>
        <v>5</v>
      </c>
      <c r="I22" s="26">
        <f t="shared" si="10"/>
        <v>6</v>
      </c>
      <c r="J22" s="26">
        <f t="shared" si="10"/>
        <v>7</v>
      </c>
      <c r="K22" s="26">
        <f t="shared" si="10"/>
        <v>8</v>
      </c>
      <c r="L22" s="26">
        <f t="shared" si="10"/>
        <v>9</v>
      </c>
      <c r="M22" s="26">
        <f t="shared" si="10"/>
        <v>10</v>
      </c>
      <c r="N22" s="26">
        <f t="shared" si="10"/>
        <v>11</v>
      </c>
      <c r="O22" s="26">
        <f t="shared" si="10"/>
        <v>12</v>
      </c>
      <c r="P22" s="26">
        <f t="shared" si="10"/>
        <v>13</v>
      </c>
      <c r="Q22" s="26">
        <f t="shared" si="10"/>
        <v>14</v>
      </c>
      <c r="R22" s="26">
        <f t="shared" si="10"/>
        <v>15</v>
      </c>
      <c r="S22" s="26">
        <f t="shared" si="10"/>
        <v>16</v>
      </c>
      <c r="T22" s="26">
        <f t="shared" si="10"/>
        <v>17</v>
      </c>
      <c r="U22" s="26">
        <f t="shared" si="10"/>
        <v>18</v>
      </c>
      <c r="V22" s="26">
        <f t="shared" si="10"/>
        <v>19</v>
      </c>
      <c r="W22" s="26">
        <f t="shared" si="10"/>
        <v>20</v>
      </c>
      <c r="X22" s="26">
        <f t="shared" si="10"/>
        <v>21</v>
      </c>
      <c r="Y22" s="27">
        <f t="shared" si="10"/>
        <v>22</v>
      </c>
      <c r="Z22" s="24"/>
      <c r="AA22" s="24"/>
      <c r="AB22"/>
    </row>
    <row r="23" spans="1:28" s="10" customFormat="1" x14ac:dyDescent="0.2">
      <c r="C23" s="13" t="s">
        <v>6</v>
      </c>
      <c r="D23" s="15">
        <f>COMBIN($C$22,D22)/COMBIN($C$1,D22)</f>
        <v>0.83333333333333337</v>
      </c>
      <c r="E23" s="15">
        <f>COMBIN($C$22,E22)/COMBIN($C$1,E22)</f>
        <v>0.68840579710144922</v>
      </c>
      <c r="F23" s="15">
        <f>COMBIN($C$22,F22)/COMBIN($C$1,F22)</f>
        <v>0.56324110671936756</v>
      </c>
      <c r="G23" s="15">
        <f>COMBIN($C$22,G22)/COMBIN($C$1,G22)</f>
        <v>0.45595708639186899</v>
      </c>
      <c r="H23" s="15">
        <f>COMBIN($C$22,H22)/COMBIN($C$1,H22)</f>
        <v>0.36476566911349523</v>
      </c>
      <c r="I23" s="15">
        <f>COMBIN($C$22,I22)/COMBIN($C$1,I22)</f>
        <v>0.28797289666854881</v>
      </c>
      <c r="J23" s="15">
        <f>COMBIN($C$22,J22)/COMBIN($C$1,J22)</f>
        <v>0.22397891963109354</v>
      </c>
      <c r="K23" s="15">
        <f>COMBIN($C$22,K22)/COMBIN($C$1,K22)</f>
        <v>0.17127799736495392</v>
      </c>
      <c r="L23" s="15">
        <f>COMBIN($C$22,L22)/COMBIN($C$1,L22)</f>
        <v>0.12845849802371542</v>
      </c>
      <c r="M23" s="15">
        <f>COMBIN($C$22,M22)/COMBIN($C$1,M22)</f>
        <v>9.420289855072464E-2</v>
      </c>
      <c r="N23" s="15">
        <f>COMBIN($C$22,N22)/COMBIN($C$1,N22)</f>
        <v>6.7287784679089011E-2</v>
      </c>
      <c r="O23" s="15">
        <f>COMBIN($C$22,O22)/COMBIN($C$1,O22)</f>
        <v>4.6583850931677009E-2</v>
      </c>
      <c r="P23" s="15">
        <f>COMBIN($C$22,P22)/COMBIN($C$1,P22)</f>
        <v>3.1055900621118005E-2</v>
      </c>
      <c r="Q23" s="15">
        <f>COMBIN($C$22,Q22)/COMBIN($C$1,Q22)</f>
        <v>1.9762845849802372E-2</v>
      </c>
      <c r="R23" s="15">
        <f>COMBIN($C$22,R22)/COMBIN($C$1,R22)</f>
        <v>1.1857707509881422E-2</v>
      </c>
      <c r="S23" s="15">
        <f>COMBIN($C$22,S22)/COMBIN($C$1,S22)</f>
        <v>6.587615283267457E-3</v>
      </c>
      <c r="T23" s="15">
        <f>COMBIN($C$22,T22)/COMBIN($C$1,T22)</f>
        <v>3.2938076416337285E-3</v>
      </c>
      <c r="U23" s="15">
        <f>COMBIN($C$22,U22)/COMBIN($C$1,U22)</f>
        <v>1.4116318464144548E-3</v>
      </c>
      <c r="V23" s="15">
        <f>COMBIN($C$22,V22)/COMBIN($C$1,V22)</f>
        <v>4.7054394880481843E-4</v>
      </c>
      <c r="W23" s="15">
        <f>COMBIN($C$22,W22)/COMBIN($C$1,W22)</f>
        <v>9.4108789760963672E-5</v>
      </c>
      <c r="X23" s="15"/>
      <c r="Y23" s="28"/>
      <c r="Z23" s="24"/>
      <c r="AA23" s="24"/>
      <c r="AB23"/>
    </row>
    <row r="24" spans="1:28" s="10" customFormat="1" x14ac:dyDescent="0.2">
      <c r="C24" s="17" t="s">
        <v>7</v>
      </c>
      <c r="D24" s="18">
        <f>1/D23</f>
        <v>1.2</v>
      </c>
      <c r="E24" s="19">
        <f t="shared" ref="E24:W24" si="11">1/E23</f>
        <v>1.4526315789473685</v>
      </c>
      <c r="F24" s="19">
        <f t="shared" si="11"/>
        <v>1.7754385964912283</v>
      </c>
      <c r="G24" s="19">
        <f t="shared" si="11"/>
        <v>2.193188854489164</v>
      </c>
      <c r="H24" s="19">
        <f t="shared" si="11"/>
        <v>2.7414860681114548</v>
      </c>
      <c r="I24" s="19">
        <f t="shared" si="11"/>
        <v>3.4725490196078437</v>
      </c>
      <c r="J24" s="19">
        <f t="shared" si="11"/>
        <v>4.4647058823529413</v>
      </c>
      <c r="K24" s="19">
        <f t="shared" si="11"/>
        <v>5.8384615384615373</v>
      </c>
      <c r="L24" s="19">
        <f t="shared" si="11"/>
        <v>7.7846153846153845</v>
      </c>
      <c r="M24" s="19">
        <f t="shared" si="11"/>
        <v>10.615384615384615</v>
      </c>
      <c r="N24" s="19">
        <f t="shared" si="11"/>
        <v>14.861538461538466</v>
      </c>
      <c r="O24" s="19">
        <f t="shared" si="11"/>
        <v>21.466666666666672</v>
      </c>
      <c r="P24" s="19">
        <f t="shared" si="11"/>
        <v>32.20000000000001</v>
      </c>
      <c r="Q24" s="19">
        <f t="shared" si="11"/>
        <v>50.6</v>
      </c>
      <c r="R24" s="19">
        <f t="shared" si="11"/>
        <v>84.333333333333343</v>
      </c>
      <c r="S24" s="19">
        <f t="shared" si="11"/>
        <v>151.80000000000001</v>
      </c>
      <c r="T24" s="19">
        <f t="shared" si="11"/>
        <v>303.60000000000002</v>
      </c>
      <c r="U24" s="19">
        <f t="shared" si="11"/>
        <v>708.4000000000002</v>
      </c>
      <c r="V24" s="19">
        <f t="shared" si="11"/>
        <v>2125.1999999999998</v>
      </c>
      <c r="W24" s="19">
        <f t="shared" si="11"/>
        <v>10626</v>
      </c>
      <c r="X24" s="19"/>
      <c r="Y24" s="29"/>
      <c r="Z24" s="24"/>
      <c r="AA24" s="24"/>
      <c r="AB24"/>
    </row>
    <row r="25" spans="1:28" s="10" customFormat="1" ht="16" thickBot="1" x14ac:dyDescent="0.25">
      <c r="C25" s="20" t="s">
        <v>8</v>
      </c>
      <c r="D25" s="30">
        <f>$F$1*D24</f>
        <v>1.1639999999999999</v>
      </c>
      <c r="E25" s="31">
        <f t="shared" ref="E25:W25" si="12">$F$1*E24</f>
        <v>1.4090526315789473</v>
      </c>
      <c r="F25" s="31">
        <f t="shared" si="12"/>
        <v>1.7221754385964914</v>
      </c>
      <c r="G25" s="31">
        <f t="shared" si="12"/>
        <v>2.127393188854489</v>
      </c>
      <c r="H25" s="31">
        <f t="shared" si="12"/>
        <v>2.6592414860681113</v>
      </c>
      <c r="I25" s="31">
        <f t="shared" si="12"/>
        <v>3.3683725490196084</v>
      </c>
      <c r="J25" s="31">
        <f t="shared" si="12"/>
        <v>4.3307647058823528</v>
      </c>
      <c r="K25" s="31">
        <f t="shared" si="12"/>
        <v>5.6633076923076908</v>
      </c>
      <c r="L25" s="31">
        <f t="shared" si="12"/>
        <v>7.5510769230769226</v>
      </c>
      <c r="M25" s="31">
        <f t="shared" si="12"/>
        <v>10.296923076923076</v>
      </c>
      <c r="N25" s="31">
        <f t="shared" si="12"/>
        <v>14.415692307692311</v>
      </c>
      <c r="O25" s="31">
        <f t="shared" si="12"/>
        <v>20.82266666666667</v>
      </c>
      <c r="P25" s="31">
        <f t="shared" si="12"/>
        <v>31.234000000000009</v>
      </c>
      <c r="Q25" s="31">
        <f t="shared" si="12"/>
        <v>49.082000000000001</v>
      </c>
      <c r="R25" s="31">
        <f t="shared" si="12"/>
        <v>81.803333333333342</v>
      </c>
      <c r="S25" s="31">
        <f t="shared" si="12"/>
        <v>147.24600000000001</v>
      </c>
      <c r="T25" s="31">
        <f t="shared" si="12"/>
        <v>294.49200000000002</v>
      </c>
      <c r="U25" s="31">
        <f t="shared" si="12"/>
        <v>687.14800000000014</v>
      </c>
      <c r="V25" s="31">
        <f t="shared" si="12"/>
        <v>2061.444</v>
      </c>
      <c r="W25" s="31">
        <f t="shared" si="12"/>
        <v>10307.219999999999</v>
      </c>
      <c r="X25" s="31"/>
      <c r="Y25" s="32"/>
      <c r="Z25" s="24"/>
      <c r="AA25" s="24"/>
      <c r="AB25"/>
    </row>
    <row r="26" spans="1:28" ht="16" thickBot="1" x14ac:dyDescent="0.25"/>
    <row r="27" spans="1:28" s="10" customFormat="1" ht="16" thickBot="1" x14ac:dyDescent="0.25">
      <c r="A27" s="5" t="s">
        <v>12</v>
      </c>
      <c r="B27" s="6" t="s">
        <v>3</v>
      </c>
      <c r="C27" s="7" t="s">
        <v>4</v>
      </c>
      <c r="D27" s="51" t="s">
        <v>5</v>
      </c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3"/>
      <c r="Y27"/>
      <c r="Z27"/>
      <c r="AA27"/>
      <c r="AB27"/>
    </row>
    <row r="28" spans="1:28" s="10" customFormat="1" ht="16" thickBot="1" x14ac:dyDescent="0.25">
      <c r="A28" s="11"/>
      <c r="B28" s="7">
        <v>5</v>
      </c>
      <c r="C28" s="12">
        <f>$C$1-B28</f>
        <v>19</v>
      </c>
      <c r="D28" s="6">
        <v>1</v>
      </c>
      <c r="E28" s="8">
        <f>D28+1</f>
        <v>2</v>
      </c>
      <c r="F28" s="8">
        <f t="shared" ref="F28:X28" si="13">E28+1</f>
        <v>3</v>
      </c>
      <c r="G28" s="8">
        <f t="shared" si="13"/>
        <v>4</v>
      </c>
      <c r="H28" s="8">
        <f t="shared" si="13"/>
        <v>5</v>
      </c>
      <c r="I28" s="8">
        <f t="shared" si="13"/>
        <v>6</v>
      </c>
      <c r="J28" s="8">
        <f t="shared" si="13"/>
        <v>7</v>
      </c>
      <c r="K28" s="8">
        <f t="shared" si="13"/>
        <v>8</v>
      </c>
      <c r="L28" s="8">
        <f t="shared" si="13"/>
        <v>9</v>
      </c>
      <c r="M28" s="8">
        <f t="shared" si="13"/>
        <v>10</v>
      </c>
      <c r="N28" s="8">
        <f t="shared" si="13"/>
        <v>11</v>
      </c>
      <c r="O28" s="8">
        <f t="shared" si="13"/>
        <v>12</v>
      </c>
      <c r="P28" s="8">
        <f t="shared" si="13"/>
        <v>13</v>
      </c>
      <c r="Q28" s="8">
        <f t="shared" si="13"/>
        <v>14</v>
      </c>
      <c r="R28" s="8">
        <f t="shared" si="13"/>
        <v>15</v>
      </c>
      <c r="S28" s="8">
        <f t="shared" si="13"/>
        <v>16</v>
      </c>
      <c r="T28" s="8">
        <f t="shared" si="13"/>
        <v>17</v>
      </c>
      <c r="U28" s="8">
        <f t="shared" si="13"/>
        <v>18</v>
      </c>
      <c r="V28" s="8">
        <f t="shared" si="13"/>
        <v>19</v>
      </c>
      <c r="W28" s="8">
        <f t="shared" si="13"/>
        <v>20</v>
      </c>
      <c r="X28" s="9">
        <f t="shared" si="13"/>
        <v>21</v>
      </c>
      <c r="Y28"/>
      <c r="Z28"/>
      <c r="AA28"/>
      <c r="AB28"/>
    </row>
    <row r="29" spans="1:28" s="10" customFormat="1" x14ac:dyDescent="0.2">
      <c r="C29" s="13" t="s">
        <v>6</v>
      </c>
      <c r="D29" s="33">
        <f>COMBIN($C$28,D28)/COMBIN($C$1,D28)</f>
        <v>0.79166666666666663</v>
      </c>
      <c r="E29" s="15">
        <f>COMBIN($C$28,E28)/COMBIN($C$1,E28)</f>
        <v>0.61956521739130432</v>
      </c>
      <c r="F29" s="15">
        <f>COMBIN($C$28,F28)/COMBIN($C$1,F28)</f>
        <v>0.47875494071146241</v>
      </c>
      <c r="G29" s="15">
        <f>COMBIN($C$28,G28)/COMBIN($C$1,G28)</f>
        <v>0.36476566911349523</v>
      </c>
      <c r="H29" s="15">
        <f>COMBIN($C$28,H28)/COMBIN($C$1,H28)</f>
        <v>0.27357425183512146</v>
      </c>
      <c r="I29" s="15">
        <f>COMBIN($C$28,I28)/COMBIN($C$1,I28)</f>
        <v>0.20158102766798414</v>
      </c>
      <c r="J29" s="15">
        <f>COMBIN($C$28,J28)/COMBIN($C$1,J28)</f>
        <v>0.14558629776021081</v>
      </c>
      <c r="K29" s="15">
        <f>COMBIN($C$28,K28)/COMBIN($C$1,K28)</f>
        <v>0.10276679841897231</v>
      </c>
      <c r="L29" s="15">
        <f>COMBIN($C$28,L28)/COMBIN($C$1,L28)</f>
        <v>7.0652173913043473E-2</v>
      </c>
      <c r="M29" s="15">
        <f>COMBIN($C$28,M28)/COMBIN($C$1,M28)</f>
        <v>4.710144927536232E-2</v>
      </c>
      <c r="N29" s="15">
        <f>COMBIN($C$28,N28)/COMBIN($C$1,N28)</f>
        <v>3.027950310559005E-2</v>
      </c>
      <c r="O29" s="15">
        <f>COMBIN($C$28,O28)/COMBIN($C$1,O28)</f>
        <v>1.8633540372670804E-2</v>
      </c>
      <c r="P29" s="15">
        <f>COMBIN($C$28,P28)/COMBIN($C$1,P28)</f>
        <v>1.0869565217391302E-2</v>
      </c>
      <c r="Q29" s="15">
        <f>COMBIN($C$28,Q28)/COMBIN($C$1,Q28)</f>
        <v>5.9288537549407111E-3</v>
      </c>
      <c r="R29" s="15">
        <f>COMBIN($C$28,R28)/COMBIN($C$1,R28)</f>
        <v>2.9644268774703555E-3</v>
      </c>
      <c r="S29" s="15">
        <f>COMBIN($C$28,S28)/COMBIN($C$1,S28)</f>
        <v>1.3175230566534915E-3</v>
      </c>
      <c r="T29" s="15">
        <f>COMBIN($C$28,T28)/COMBIN($C$1,T28)</f>
        <v>4.9407114624505926E-4</v>
      </c>
      <c r="U29" s="15">
        <f>COMBIN($C$28,U28)/COMBIN($C$1,U28)</f>
        <v>1.4116318464144547E-4</v>
      </c>
      <c r="V29" s="15">
        <f>COMBIN($C$28,V28)/COMBIN($C$1,V28)</f>
        <v>2.3527197440240921E-5</v>
      </c>
      <c r="W29" s="34"/>
      <c r="X29" s="28"/>
      <c r="Y29"/>
      <c r="Z29"/>
      <c r="AA29"/>
      <c r="AB29"/>
    </row>
    <row r="30" spans="1:28" s="10" customFormat="1" x14ac:dyDescent="0.2">
      <c r="C30" s="17" t="s">
        <v>7</v>
      </c>
      <c r="D30" s="35">
        <f>1/D29</f>
        <v>1.2631578947368423</v>
      </c>
      <c r="E30" s="19">
        <f t="shared" ref="E30:V30" si="14">1/E29</f>
        <v>1.6140350877192984</v>
      </c>
      <c r="F30" s="19">
        <f t="shared" si="14"/>
        <v>2.0887512899896801</v>
      </c>
      <c r="G30" s="19">
        <f t="shared" si="14"/>
        <v>2.7414860681114548</v>
      </c>
      <c r="H30" s="19">
        <f t="shared" si="14"/>
        <v>3.6553147574819391</v>
      </c>
      <c r="I30" s="19">
        <f t="shared" si="14"/>
        <v>4.9607843137254912</v>
      </c>
      <c r="J30" s="19">
        <f t="shared" si="14"/>
        <v>6.868778280542986</v>
      </c>
      <c r="K30" s="19">
        <f t="shared" si="14"/>
        <v>9.7307692307692335</v>
      </c>
      <c r="L30" s="19">
        <f t="shared" si="14"/>
        <v>14.153846153846155</v>
      </c>
      <c r="M30" s="19">
        <f t="shared" si="14"/>
        <v>21.23076923076923</v>
      </c>
      <c r="N30" s="19">
        <f t="shared" si="14"/>
        <v>33.025641025641036</v>
      </c>
      <c r="O30" s="19">
        <f t="shared" si="14"/>
        <v>53.666666666666679</v>
      </c>
      <c r="P30" s="19">
        <f t="shared" si="14"/>
        <v>92.000000000000014</v>
      </c>
      <c r="Q30" s="19">
        <f t="shared" si="14"/>
        <v>168.66666666666669</v>
      </c>
      <c r="R30" s="19">
        <f t="shared" si="14"/>
        <v>337.33333333333337</v>
      </c>
      <c r="S30" s="19">
        <f t="shared" si="14"/>
        <v>759</v>
      </c>
      <c r="T30" s="19">
        <f t="shared" si="14"/>
        <v>2024.0000000000002</v>
      </c>
      <c r="U30" s="19">
        <f t="shared" si="14"/>
        <v>7084.0000000000018</v>
      </c>
      <c r="V30" s="19">
        <f t="shared" si="14"/>
        <v>42503.999999999993</v>
      </c>
      <c r="W30" s="19"/>
      <c r="X30" s="29"/>
      <c r="Y30"/>
      <c r="Z30"/>
      <c r="AA30"/>
      <c r="AB30"/>
    </row>
    <row r="31" spans="1:28" s="10" customFormat="1" ht="16" thickBot="1" x14ac:dyDescent="0.25">
      <c r="C31" s="20" t="s">
        <v>8</v>
      </c>
      <c r="D31" s="30">
        <f>$F$1*D30</f>
        <v>1.2252631578947371</v>
      </c>
      <c r="E31" s="31">
        <f t="shared" ref="E31:V31" si="15">$F$1*E30</f>
        <v>1.5656140350877195</v>
      </c>
      <c r="F31" s="31">
        <f t="shared" si="15"/>
        <v>2.0260887512899894</v>
      </c>
      <c r="G31" s="31">
        <f t="shared" si="15"/>
        <v>2.6592414860681113</v>
      </c>
      <c r="H31" s="31">
        <f t="shared" si="15"/>
        <v>3.545655314757481</v>
      </c>
      <c r="I31" s="31">
        <f t="shared" si="15"/>
        <v>4.811960784313726</v>
      </c>
      <c r="J31" s="31">
        <f t="shared" si="15"/>
        <v>6.6627149321266961</v>
      </c>
      <c r="K31" s="31">
        <f t="shared" si="15"/>
        <v>9.438846153846157</v>
      </c>
      <c r="L31" s="31">
        <f t="shared" si="15"/>
        <v>13.729230769230771</v>
      </c>
      <c r="M31" s="31">
        <f t="shared" si="15"/>
        <v>20.593846153846151</v>
      </c>
      <c r="N31" s="31">
        <f t="shared" si="15"/>
        <v>32.034871794871805</v>
      </c>
      <c r="O31" s="31">
        <f t="shared" si="15"/>
        <v>52.056666666666679</v>
      </c>
      <c r="P31" s="31">
        <f t="shared" si="15"/>
        <v>89.240000000000009</v>
      </c>
      <c r="Q31" s="31">
        <f t="shared" si="15"/>
        <v>163.60666666666668</v>
      </c>
      <c r="R31" s="31">
        <f t="shared" si="15"/>
        <v>327.21333333333337</v>
      </c>
      <c r="S31" s="31">
        <f t="shared" si="15"/>
        <v>736.23</v>
      </c>
      <c r="T31" s="31">
        <f t="shared" si="15"/>
        <v>1963.2800000000002</v>
      </c>
      <c r="U31" s="31">
        <f t="shared" si="15"/>
        <v>6871.4800000000014</v>
      </c>
      <c r="V31" s="31">
        <f t="shared" si="15"/>
        <v>41228.87999999999</v>
      </c>
      <c r="W31" s="31"/>
      <c r="X31" s="32"/>
      <c r="Y31"/>
      <c r="Z31"/>
      <c r="AA31"/>
      <c r="AB31"/>
    </row>
    <row r="32" spans="1:28" ht="16" thickBot="1" x14ac:dyDescent="0.25"/>
    <row r="33" spans="1:28" s="10" customFormat="1" ht="16" thickBot="1" x14ac:dyDescent="0.25">
      <c r="A33" s="5" t="s">
        <v>13</v>
      </c>
      <c r="B33" s="6" t="s">
        <v>3</v>
      </c>
      <c r="C33" s="7" t="s">
        <v>4</v>
      </c>
      <c r="D33" s="51" t="s">
        <v>5</v>
      </c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3"/>
      <c r="X33"/>
      <c r="Y33"/>
      <c r="Z33"/>
      <c r="AA33"/>
      <c r="AB33"/>
    </row>
    <row r="34" spans="1:28" s="10" customFormat="1" ht="16" thickBot="1" x14ac:dyDescent="0.25">
      <c r="A34" s="11"/>
      <c r="B34" s="7">
        <v>6</v>
      </c>
      <c r="C34" s="12">
        <f>$C$1-B34</f>
        <v>18</v>
      </c>
      <c r="D34" s="6">
        <v>1</v>
      </c>
      <c r="E34" s="8">
        <f>D34+1</f>
        <v>2</v>
      </c>
      <c r="F34" s="8">
        <f t="shared" ref="F34:W34" si="16">E34+1</f>
        <v>3</v>
      </c>
      <c r="G34" s="8">
        <f t="shared" si="16"/>
        <v>4</v>
      </c>
      <c r="H34" s="8">
        <f t="shared" si="16"/>
        <v>5</v>
      </c>
      <c r="I34" s="8">
        <f t="shared" si="16"/>
        <v>6</v>
      </c>
      <c r="J34" s="8">
        <f t="shared" si="16"/>
        <v>7</v>
      </c>
      <c r="K34" s="8">
        <f t="shared" si="16"/>
        <v>8</v>
      </c>
      <c r="L34" s="8">
        <f t="shared" si="16"/>
        <v>9</v>
      </c>
      <c r="M34" s="8">
        <f t="shared" si="16"/>
        <v>10</v>
      </c>
      <c r="N34" s="8">
        <f t="shared" si="16"/>
        <v>11</v>
      </c>
      <c r="O34" s="8">
        <f t="shared" si="16"/>
        <v>12</v>
      </c>
      <c r="P34" s="8">
        <f t="shared" si="16"/>
        <v>13</v>
      </c>
      <c r="Q34" s="8">
        <f t="shared" si="16"/>
        <v>14</v>
      </c>
      <c r="R34" s="8">
        <f t="shared" si="16"/>
        <v>15</v>
      </c>
      <c r="S34" s="8">
        <f t="shared" si="16"/>
        <v>16</v>
      </c>
      <c r="T34" s="8">
        <f t="shared" si="16"/>
        <v>17</v>
      </c>
      <c r="U34" s="8">
        <f t="shared" si="16"/>
        <v>18</v>
      </c>
      <c r="V34" s="8">
        <f t="shared" si="16"/>
        <v>19</v>
      </c>
      <c r="W34" s="9">
        <f t="shared" si="16"/>
        <v>20</v>
      </c>
      <c r="X34"/>
      <c r="Y34"/>
      <c r="Z34"/>
      <c r="AA34"/>
      <c r="AB34"/>
    </row>
    <row r="35" spans="1:28" s="10" customFormat="1" x14ac:dyDescent="0.2">
      <c r="C35" s="13" t="s">
        <v>6</v>
      </c>
      <c r="D35" s="5">
        <f>COMBIN($C$34,D34)/COMBIN($C$1,D34)</f>
        <v>0.75</v>
      </c>
      <c r="E35" s="36">
        <f>COMBIN($C$34,E34)/COMBIN($C$1,E34)</f>
        <v>0.55434782608695654</v>
      </c>
      <c r="F35" s="36">
        <f>COMBIN($C$34,F34)/COMBIN($C$1,F34)</f>
        <v>0.40316205533596833</v>
      </c>
      <c r="G35" s="36">
        <f>COMBIN($C$34,G34)/COMBIN($C$1,G34)</f>
        <v>0.28797289666854886</v>
      </c>
      <c r="H35" s="36">
        <f>COMBIN($C$34,H34)/COMBIN($C$1,H34)</f>
        <v>0.20158102766798422</v>
      </c>
      <c r="I35" s="36">
        <f>COMBIN($C$34,I34)/COMBIN($C$1,I34)</f>
        <v>0.13792386103598919</v>
      </c>
      <c r="J35" s="36">
        <f>COMBIN($C$34,J34)/COMBIN($C$1,J34)</f>
        <v>9.1949240690659448E-2</v>
      </c>
      <c r="K35" s="36">
        <f>COMBIN($C$34,K34)/COMBIN($C$1,K34)</f>
        <v>5.9496567505720827E-2</v>
      </c>
      <c r="L35" s="36">
        <f>COMBIN($C$34,L34)/COMBIN($C$1,L34)</f>
        <v>3.7185354691075506E-2</v>
      </c>
      <c r="M35" s="36">
        <f>COMBIN($C$34,M34)/COMBIN($C$1,M34)</f>
        <v>2.231121281464531E-2</v>
      </c>
      <c r="N35" s="36">
        <f>COMBIN($C$34,N34)/COMBIN($C$1,N34)</f>
        <v>1.2749264465511601E-2</v>
      </c>
      <c r="O35" s="36">
        <f>COMBIN($C$34,O34)/COMBIN($C$1,O34)</f>
        <v>6.8649885583524015E-3</v>
      </c>
      <c r="P35" s="36">
        <f>COMBIN($C$34,P34)/COMBIN($C$1,P34)</f>
        <v>3.4324942791762007E-3</v>
      </c>
      <c r="Q35" s="36">
        <f>COMBIN($C$34,Q34)/COMBIN($C$1,Q34)</f>
        <v>1.5602246723528188E-3</v>
      </c>
      <c r="R35" s="36">
        <f>COMBIN($C$34,R34)/COMBIN($C$1,R34)</f>
        <v>6.2408986894112747E-4</v>
      </c>
      <c r="S35" s="36">
        <f>COMBIN($C$34,S34)/COMBIN($C$1,S34)</f>
        <v>2.0802995631370917E-4</v>
      </c>
      <c r="T35" s="36">
        <f>COMBIN($C$34,T34)/COMBIN($C$1,T34)</f>
        <v>5.2007489078427292E-5</v>
      </c>
      <c r="U35" s="36">
        <f>COMBIN($C$34,U34)/COMBIN($C$1,U34)</f>
        <v>7.4296412969181836E-6</v>
      </c>
      <c r="V35" s="36"/>
      <c r="W35" s="16"/>
      <c r="X35"/>
      <c r="Y35"/>
      <c r="Z35"/>
      <c r="AA35"/>
      <c r="AB35"/>
    </row>
    <row r="36" spans="1:28" s="10" customFormat="1" x14ac:dyDescent="0.2">
      <c r="C36" s="17" t="s">
        <v>7</v>
      </c>
      <c r="D36" s="37">
        <f>1/D35</f>
        <v>1.3333333333333333</v>
      </c>
      <c r="E36" s="10">
        <f t="shared" ref="E36:U36" si="17">1/E35</f>
        <v>1.803921568627451</v>
      </c>
      <c r="F36" s="10">
        <f t="shared" si="17"/>
        <v>2.4803921568627456</v>
      </c>
      <c r="G36" s="10">
        <f t="shared" si="17"/>
        <v>3.4725490196078428</v>
      </c>
      <c r="H36" s="10">
        <f t="shared" si="17"/>
        <v>4.9607843137254894</v>
      </c>
      <c r="I36" s="10">
        <f t="shared" si="17"/>
        <v>7.2503770739064848</v>
      </c>
      <c r="J36" s="10">
        <f t="shared" si="17"/>
        <v>10.875565610859729</v>
      </c>
      <c r="K36" s="10">
        <f t="shared" si="17"/>
        <v>16.807692307692307</v>
      </c>
      <c r="L36" s="10">
        <f t="shared" si="17"/>
        <v>26.8923076923077</v>
      </c>
      <c r="M36" s="10">
        <f t="shared" si="17"/>
        <v>44.820512820512818</v>
      </c>
      <c r="N36" s="10">
        <f t="shared" si="17"/>
        <v>78.435897435897459</v>
      </c>
      <c r="O36" s="10">
        <f t="shared" si="17"/>
        <v>145.66666666666669</v>
      </c>
      <c r="P36" s="10">
        <f t="shared" si="17"/>
        <v>291.33333333333337</v>
      </c>
      <c r="Q36" s="10">
        <f t="shared" si="17"/>
        <v>640.93333333333328</v>
      </c>
      <c r="R36" s="10">
        <f t="shared" si="17"/>
        <v>1602.3333333333335</v>
      </c>
      <c r="S36" s="10">
        <f t="shared" si="17"/>
        <v>4807</v>
      </c>
      <c r="T36" s="10">
        <f t="shared" si="17"/>
        <v>19228</v>
      </c>
      <c r="U36" s="10">
        <f t="shared" si="17"/>
        <v>134596.00000000003</v>
      </c>
      <c r="W36" s="12"/>
      <c r="X36"/>
      <c r="Y36"/>
      <c r="Z36"/>
      <c r="AA36"/>
      <c r="AB36"/>
    </row>
    <row r="37" spans="1:28" s="10" customFormat="1" ht="16" thickBot="1" x14ac:dyDescent="0.25">
      <c r="C37" s="20" t="s">
        <v>8</v>
      </c>
      <c r="D37" s="11">
        <f>$F$1*D36</f>
        <v>1.2933333333333332</v>
      </c>
      <c r="E37" s="38">
        <f t="shared" ref="E37:U37" si="18">$F$1*E36</f>
        <v>1.7498039215686274</v>
      </c>
      <c r="F37" s="38">
        <f t="shared" si="18"/>
        <v>2.405980392156863</v>
      </c>
      <c r="G37" s="38">
        <f t="shared" si="18"/>
        <v>3.3683725490196075</v>
      </c>
      <c r="H37" s="38">
        <f t="shared" si="18"/>
        <v>4.8119607843137242</v>
      </c>
      <c r="I37" s="38">
        <f t="shared" si="18"/>
        <v>7.0328657616892905</v>
      </c>
      <c r="J37" s="38">
        <f t="shared" si="18"/>
        <v>10.549298642533937</v>
      </c>
      <c r="K37" s="38">
        <f t="shared" si="18"/>
        <v>16.303461538461537</v>
      </c>
      <c r="L37" s="38">
        <f t="shared" si="18"/>
        <v>26.085538461538469</v>
      </c>
      <c r="M37" s="38">
        <f t="shared" si="18"/>
        <v>43.47589743589743</v>
      </c>
      <c r="N37" s="38">
        <f t="shared" si="18"/>
        <v>76.082820512820533</v>
      </c>
      <c r="O37" s="38">
        <f t="shared" si="18"/>
        <v>141.29666666666668</v>
      </c>
      <c r="P37" s="38">
        <f t="shared" si="18"/>
        <v>282.59333333333336</v>
      </c>
      <c r="Q37" s="38">
        <f t="shared" si="18"/>
        <v>621.70533333333321</v>
      </c>
      <c r="R37" s="38">
        <f t="shared" si="18"/>
        <v>1554.2633333333335</v>
      </c>
      <c r="S37" s="38">
        <f t="shared" si="18"/>
        <v>4662.79</v>
      </c>
      <c r="T37" s="38">
        <f t="shared" si="18"/>
        <v>18651.16</v>
      </c>
      <c r="U37" s="38">
        <f t="shared" si="18"/>
        <v>130558.12000000002</v>
      </c>
      <c r="V37" s="38"/>
      <c r="W37" s="23"/>
      <c r="X37"/>
      <c r="Y37"/>
      <c r="Z37"/>
      <c r="AA37"/>
      <c r="AB37"/>
    </row>
    <row r="38" spans="1:28" ht="16" thickBot="1" x14ac:dyDescent="0.25"/>
    <row r="39" spans="1:28" s="10" customFormat="1" ht="16" thickBot="1" x14ac:dyDescent="0.25">
      <c r="A39" s="5" t="s">
        <v>14</v>
      </c>
      <c r="B39" s="6" t="s">
        <v>3</v>
      </c>
      <c r="C39" s="7" t="s">
        <v>4</v>
      </c>
      <c r="D39" s="51" t="s">
        <v>5</v>
      </c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3"/>
      <c r="W39"/>
      <c r="X39"/>
      <c r="Y39"/>
      <c r="Z39"/>
      <c r="AA39"/>
      <c r="AB39"/>
    </row>
    <row r="40" spans="1:28" s="10" customFormat="1" ht="16" thickBot="1" x14ac:dyDescent="0.25">
      <c r="A40" s="11"/>
      <c r="B40" s="7">
        <v>7</v>
      </c>
      <c r="C40" s="12">
        <f>$C$1-B40</f>
        <v>17</v>
      </c>
      <c r="D40" s="6">
        <v>1</v>
      </c>
      <c r="E40" s="8">
        <f>D40+1</f>
        <v>2</v>
      </c>
      <c r="F40" s="8">
        <f t="shared" ref="F40:V40" si="19">E40+1</f>
        <v>3</v>
      </c>
      <c r="G40" s="8">
        <f t="shared" si="19"/>
        <v>4</v>
      </c>
      <c r="H40" s="8">
        <f t="shared" si="19"/>
        <v>5</v>
      </c>
      <c r="I40" s="8">
        <f t="shared" si="19"/>
        <v>6</v>
      </c>
      <c r="J40" s="8">
        <f t="shared" si="19"/>
        <v>7</v>
      </c>
      <c r="K40" s="8">
        <f t="shared" si="19"/>
        <v>8</v>
      </c>
      <c r="L40" s="8">
        <f t="shared" si="19"/>
        <v>9</v>
      </c>
      <c r="M40" s="8">
        <f t="shared" si="19"/>
        <v>10</v>
      </c>
      <c r="N40" s="8">
        <f t="shared" si="19"/>
        <v>11</v>
      </c>
      <c r="O40" s="8">
        <f t="shared" si="19"/>
        <v>12</v>
      </c>
      <c r="P40" s="8">
        <f t="shared" si="19"/>
        <v>13</v>
      </c>
      <c r="Q40" s="8">
        <f t="shared" si="19"/>
        <v>14</v>
      </c>
      <c r="R40" s="8">
        <f t="shared" si="19"/>
        <v>15</v>
      </c>
      <c r="S40" s="8">
        <f t="shared" si="19"/>
        <v>16</v>
      </c>
      <c r="T40" s="8">
        <f t="shared" si="19"/>
        <v>17</v>
      </c>
      <c r="U40" s="8">
        <f t="shared" si="19"/>
        <v>18</v>
      </c>
      <c r="V40" s="9">
        <f t="shared" si="19"/>
        <v>19</v>
      </c>
      <c r="W40"/>
      <c r="X40"/>
      <c r="Y40"/>
      <c r="Z40"/>
      <c r="AA40"/>
      <c r="AB40"/>
    </row>
    <row r="41" spans="1:28" s="10" customFormat="1" x14ac:dyDescent="0.2">
      <c r="C41" s="13" t="s">
        <v>6</v>
      </c>
      <c r="D41" s="5">
        <f>COMBIN($C$40,D40)/COMBIN($C$1,D40)</f>
        <v>0.70833333333333337</v>
      </c>
      <c r="E41" s="34">
        <f>COMBIN($C$40,E40)/COMBIN($C$1,E40)</f>
        <v>0.49275362318840582</v>
      </c>
      <c r="F41" s="34">
        <f>COMBIN($C$40,F40)/COMBIN($C$1,F40)</f>
        <v>0.33596837944664026</v>
      </c>
      <c r="G41" s="34">
        <f>COMBIN($C$40,G40)/COMBIN($C$1,G40)</f>
        <v>0.22397891963109354</v>
      </c>
      <c r="H41" s="34">
        <f>COMBIN($C$40,H40)/COMBIN($C$1,H40)</f>
        <v>0.14558629776021084</v>
      </c>
      <c r="I41" s="34">
        <f>COMBIN($C$40,I40)/COMBIN($C$1,I40)</f>
        <v>9.1949240690659434E-2</v>
      </c>
      <c r="J41" s="34">
        <f>COMBIN($C$40,J40)/COMBIN($C$1,J40)</f>
        <v>5.6191202644291886E-2</v>
      </c>
      <c r="K41" s="34">
        <f>COMBIN($C$40,K40)/COMBIN($C$1,K40)</f>
        <v>3.3053648614289347E-2</v>
      </c>
      <c r="L41" s="34">
        <f>COMBIN($C$40,L40)/COMBIN($C$1,L40)</f>
        <v>1.8592677345537757E-2</v>
      </c>
      <c r="M41" s="34">
        <f>COMBIN($C$40,M40)/COMBIN($C$1,M40)</f>
        <v>9.9160945842868033E-3</v>
      </c>
      <c r="N41" s="34">
        <f>COMBIN($C$40,N40)/COMBIN($C$1,N40)</f>
        <v>4.9580472921434008E-3</v>
      </c>
      <c r="O41" s="34">
        <f>COMBIN($C$40,O40)/COMBIN($C$1,O40)</f>
        <v>2.2883295194508005E-3</v>
      </c>
      <c r="P41" s="34">
        <f>COMBIN($C$40,P40)/COMBIN($C$1,P40)</f>
        <v>9.5347063310450024E-4</v>
      </c>
      <c r="Q41" s="34">
        <f>COMBIN($C$40,Q40)/COMBIN($C$1,Q40)</f>
        <v>3.4671659385618195E-4</v>
      </c>
      <c r="R41" s="34">
        <f>COMBIN($C$40,R40)/COMBIN($C$1,R40)</f>
        <v>1.0401497815685458E-4</v>
      </c>
      <c r="S41" s="34">
        <f>COMBIN($C$40,S40)/COMBIN($C$1,S40)</f>
        <v>2.3114439590412129E-5</v>
      </c>
      <c r="T41" s="34">
        <f>COMBIN($C$40,T40)/COMBIN($C$1,T40)</f>
        <v>2.8893049488015161E-6</v>
      </c>
      <c r="U41" s="34"/>
      <c r="V41" s="39"/>
      <c r="W41"/>
      <c r="X41"/>
      <c r="Y41"/>
      <c r="Z41"/>
      <c r="AA41"/>
      <c r="AB41"/>
    </row>
    <row r="42" spans="1:28" s="10" customFormat="1" x14ac:dyDescent="0.2">
      <c r="C42" s="17" t="s">
        <v>7</v>
      </c>
      <c r="D42" s="40">
        <f>1/D41</f>
        <v>1.4117647058823528</v>
      </c>
      <c r="E42" s="41">
        <f t="shared" ref="E42:T42" si="20">1/E41</f>
        <v>2.0294117647058822</v>
      </c>
      <c r="F42" s="41">
        <f t="shared" si="20"/>
        <v>2.9764705882352946</v>
      </c>
      <c r="G42" s="41">
        <f t="shared" si="20"/>
        <v>4.4647058823529413</v>
      </c>
      <c r="H42" s="41">
        <f t="shared" si="20"/>
        <v>6.8687782805429842</v>
      </c>
      <c r="I42" s="41">
        <f t="shared" si="20"/>
        <v>10.875565610859731</v>
      </c>
      <c r="J42" s="41">
        <f t="shared" si="20"/>
        <v>17.796380090497738</v>
      </c>
      <c r="K42" s="41">
        <f t="shared" si="20"/>
        <v>30.253846153846155</v>
      </c>
      <c r="L42" s="41">
        <f t="shared" si="20"/>
        <v>53.784615384615385</v>
      </c>
      <c r="M42" s="41">
        <f t="shared" si="20"/>
        <v>100.84615384615385</v>
      </c>
      <c r="N42" s="41">
        <f t="shared" si="20"/>
        <v>201.69230769230774</v>
      </c>
      <c r="O42" s="41">
        <f t="shared" si="20"/>
        <v>437.00000000000006</v>
      </c>
      <c r="P42" s="41">
        <f t="shared" si="20"/>
        <v>1048.8000000000002</v>
      </c>
      <c r="Q42" s="41">
        <f t="shared" si="20"/>
        <v>2884.2</v>
      </c>
      <c r="R42" s="41">
        <f t="shared" si="20"/>
        <v>9614</v>
      </c>
      <c r="S42" s="41">
        <f t="shared" si="20"/>
        <v>43263</v>
      </c>
      <c r="T42" s="41">
        <f t="shared" si="20"/>
        <v>346104</v>
      </c>
      <c r="U42" s="41"/>
      <c r="V42" s="42"/>
      <c r="W42"/>
      <c r="X42"/>
      <c r="Y42"/>
      <c r="Z42"/>
      <c r="AA42"/>
      <c r="AB42"/>
    </row>
    <row r="43" spans="1:28" s="10" customFormat="1" ht="16" thickBot="1" x14ac:dyDescent="0.25">
      <c r="C43" s="20" t="s">
        <v>8</v>
      </c>
      <c r="D43" s="11">
        <f>$F$1*D42</f>
        <v>1.3694117647058821</v>
      </c>
      <c r="E43" s="31">
        <f t="shared" ref="E43:T43" si="21">$F$1*E42</f>
        <v>1.9685294117647056</v>
      </c>
      <c r="F43" s="31">
        <f t="shared" si="21"/>
        <v>2.8871764705882357</v>
      </c>
      <c r="G43" s="31">
        <f t="shared" si="21"/>
        <v>4.3307647058823528</v>
      </c>
      <c r="H43" s="31">
        <f t="shared" si="21"/>
        <v>6.6627149321266943</v>
      </c>
      <c r="I43" s="31">
        <f t="shared" si="21"/>
        <v>10.549298642533939</v>
      </c>
      <c r="J43" s="31">
        <f t="shared" si="21"/>
        <v>17.262488687782806</v>
      </c>
      <c r="K43" s="31">
        <f t="shared" si="21"/>
        <v>29.346230769230768</v>
      </c>
      <c r="L43" s="31">
        <f t="shared" si="21"/>
        <v>52.171076923076924</v>
      </c>
      <c r="M43" s="31">
        <f t="shared" si="21"/>
        <v>97.82076923076923</v>
      </c>
      <c r="N43" s="31">
        <f t="shared" si="21"/>
        <v>195.64153846153849</v>
      </c>
      <c r="O43" s="31">
        <f t="shared" si="21"/>
        <v>423.89000000000004</v>
      </c>
      <c r="P43" s="31">
        <f t="shared" si="21"/>
        <v>1017.3360000000001</v>
      </c>
      <c r="Q43" s="31">
        <f t="shared" si="21"/>
        <v>2797.6739999999995</v>
      </c>
      <c r="R43" s="31">
        <f t="shared" si="21"/>
        <v>9325.58</v>
      </c>
      <c r="S43" s="31">
        <f t="shared" si="21"/>
        <v>41965.11</v>
      </c>
      <c r="T43" s="31">
        <f t="shared" si="21"/>
        <v>335720.88</v>
      </c>
      <c r="U43" s="31"/>
      <c r="V43" s="43"/>
      <c r="W43"/>
      <c r="X43"/>
      <c r="Y43"/>
      <c r="Z43"/>
      <c r="AA43"/>
      <c r="AB43"/>
    </row>
    <row r="44" spans="1:28" ht="16" thickBot="1" x14ac:dyDescent="0.25"/>
    <row r="45" spans="1:28" s="10" customFormat="1" ht="16" thickBot="1" x14ac:dyDescent="0.25">
      <c r="A45" s="5" t="s">
        <v>15</v>
      </c>
      <c r="B45" s="6" t="s">
        <v>3</v>
      </c>
      <c r="C45" s="7" t="s">
        <v>4</v>
      </c>
      <c r="D45" s="51" t="s">
        <v>5</v>
      </c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3"/>
      <c r="V45"/>
      <c r="W45"/>
      <c r="X45"/>
      <c r="Y45"/>
      <c r="Z45"/>
      <c r="AA45"/>
      <c r="AB45"/>
    </row>
    <row r="46" spans="1:28" s="10" customFormat="1" ht="16" thickBot="1" x14ac:dyDescent="0.25">
      <c r="A46" s="11"/>
      <c r="B46" s="7">
        <v>8</v>
      </c>
      <c r="C46" s="12">
        <f>$C$1-B46</f>
        <v>16</v>
      </c>
      <c r="D46" s="6">
        <v>1</v>
      </c>
      <c r="E46" s="8">
        <f>D46+1</f>
        <v>2</v>
      </c>
      <c r="F46" s="8">
        <f t="shared" ref="F46:U46" si="22">E46+1</f>
        <v>3</v>
      </c>
      <c r="G46" s="8">
        <f t="shared" si="22"/>
        <v>4</v>
      </c>
      <c r="H46" s="8">
        <f t="shared" si="22"/>
        <v>5</v>
      </c>
      <c r="I46" s="8">
        <f t="shared" si="22"/>
        <v>6</v>
      </c>
      <c r="J46" s="8">
        <f t="shared" si="22"/>
        <v>7</v>
      </c>
      <c r="K46" s="8">
        <f t="shared" si="22"/>
        <v>8</v>
      </c>
      <c r="L46" s="8">
        <f t="shared" si="22"/>
        <v>9</v>
      </c>
      <c r="M46" s="8">
        <f t="shared" si="22"/>
        <v>10</v>
      </c>
      <c r="N46" s="8">
        <f t="shared" si="22"/>
        <v>11</v>
      </c>
      <c r="O46" s="8">
        <f t="shared" si="22"/>
        <v>12</v>
      </c>
      <c r="P46" s="8">
        <f t="shared" si="22"/>
        <v>13</v>
      </c>
      <c r="Q46" s="8">
        <f t="shared" si="22"/>
        <v>14</v>
      </c>
      <c r="R46" s="8">
        <f t="shared" si="22"/>
        <v>15</v>
      </c>
      <c r="S46" s="8">
        <f t="shared" si="22"/>
        <v>16</v>
      </c>
      <c r="T46" s="8">
        <f t="shared" si="22"/>
        <v>17</v>
      </c>
      <c r="U46" s="9">
        <f t="shared" si="22"/>
        <v>18</v>
      </c>
      <c r="V46"/>
      <c r="W46"/>
      <c r="X46"/>
      <c r="Y46"/>
      <c r="Z46"/>
      <c r="AA46"/>
      <c r="AB46"/>
    </row>
    <row r="47" spans="1:28" s="10" customFormat="1" x14ac:dyDescent="0.2">
      <c r="C47" s="13" t="s">
        <v>6</v>
      </c>
      <c r="D47" s="37">
        <f>COMBIN($C$46,D46)/COMBIN($C$1,D46)</f>
        <v>0.66666666666666663</v>
      </c>
      <c r="E47" s="10">
        <f>COMBIN($C$46,E46)/COMBIN($C$1,E46)</f>
        <v>0.43478260869565216</v>
      </c>
      <c r="F47" s="10">
        <f>COMBIN($C$46,F46)/COMBIN($C$1,F46)</f>
        <v>0.27667984189723316</v>
      </c>
      <c r="G47" s="10">
        <f>COMBIN($C$46,G46)/COMBIN($C$1,G46)</f>
        <v>0.17127799736495392</v>
      </c>
      <c r="H47" s="10">
        <f>COMBIN($C$46,H46)/COMBIN($C$1,H46)</f>
        <v>0.10276679841897235</v>
      </c>
      <c r="I47" s="10">
        <f>COMBIN($C$46,I46)/COMBIN($C$1,I46)</f>
        <v>5.9496567505720813E-2</v>
      </c>
      <c r="J47" s="10">
        <f>COMBIN($C$46,J46)/COMBIN($C$1,J46)</f>
        <v>3.3053648614289347E-2</v>
      </c>
      <c r="K47" s="10">
        <f>COMBIN($C$46,K46)/COMBIN($C$1,K46)</f>
        <v>1.7498990442859064E-2</v>
      </c>
      <c r="L47" s="10">
        <f>COMBIN($C$46,L46)/COMBIN($C$1,L46)</f>
        <v>8.7494952214295322E-3</v>
      </c>
      <c r="M47" s="10">
        <f>COMBIN($C$46,M46)/COMBIN($C$1,M46)</f>
        <v>4.0830977700004488E-3</v>
      </c>
      <c r="N47" s="10">
        <f>COMBIN($C$46,N46)/COMBIN($C$1,N46)</f>
        <v>1.7498990442859062E-3</v>
      </c>
      <c r="O47" s="10">
        <f>COMBIN($C$46,O46)/COMBIN($C$1,O46)</f>
        <v>6.7303809395611778E-4</v>
      </c>
      <c r="P47" s="10">
        <f>COMBIN($C$46,P46)/COMBIN($C$1,P46)</f>
        <v>2.2434603131870593E-4</v>
      </c>
      <c r="Q47" s="10">
        <f>COMBIN($C$46,Q46)/COMBIN($C$1,Q46)</f>
        <v>6.1185281268737987E-5</v>
      </c>
      <c r="R47" s="10">
        <f>COMBIN($C$46,R46)/COMBIN($C$1,R46)</f>
        <v>1.2237056253747598E-5</v>
      </c>
      <c r="S47" s="10">
        <f>COMBIN($C$46,S46)/COMBIN($C$1,S46)</f>
        <v>1.3596729170830664E-6</v>
      </c>
      <c r="U47" s="12"/>
      <c r="V47"/>
      <c r="W47"/>
      <c r="X47"/>
      <c r="Y47"/>
      <c r="Z47"/>
      <c r="AA47"/>
      <c r="AB47"/>
    </row>
    <row r="48" spans="1:28" s="10" customFormat="1" x14ac:dyDescent="0.2">
      <c r="C48" s="17" t="s">
        <v>7</v>
      </c>
      <c r="D48" s="37">
        <f>1/D47</f>
        <v>1.5</v>
      </c>
      <c r="E48" s="10">
        <f t="shared" ref="E48:S48" si="23">1/E47</f>
        <v>2.3000000000000003</v>
      </c>
      <c r="F48" s="10">
        <f t="shared" si="23"/>
        <v>3.6142857142857148</v>
      </c>
      <c r="G48" s="10">
        <f t="shared" si="23"/>
        <v>5.8384615384615373</v>
      </c>
      <c r="H48" s="10">
        <f t="shared" si="23"/>
        <v>9.7307692307692299</v>
      </c>
      <c r="I48" s="10">
        <f t="shared" si="23"/>
        <v>16.80769230769231</v>
      </c>
      <c r="J48" s="10">
        <f t="shared" si="23"/>
        <v>30.253846153846155</v>
      </c>
      <c r="K48" s="10">
        <f t="shared" si="23"/>
        <v>57.146153846153851</v>
      </c>
      <c r="L48" s="10">
        <f t="shared" si="23"/>
        <v>114.2923076923077</v>
      </c>
      <c r="M48" s="10">
        <f t="shared" si="23"/>
        <v>244.91208791208791</v>
      </c>
      <c r="N48" s="10">
        <f t="shared" si="23"/>
        <v>571.46153846153857</v>
      </c>
      <c r="O48" s="10">
        <f t="shared" si="23"/>
        <v>1485.8000000000004</v>
      </c>
      <c r="P48" s="10">
        <f t="shared" si="23"/>
        <v>4457.4000000000005</v>
      </c>
      <c r="Q48" s="10">
        <f t="shared" si="23"/>
        <v>16343.800000000001</v>
      </c>
      <c r="R48" s="10">
        <f t="shared" si="23"/>
        <v>81719</v>
      </c>
      <c r="S48" s="10">
        <f t="shared" si="23"/>
        <v>735471</v>
      </c>
      <c r="U48" s="12"/>
      <c r="V48"/>
      <c r="W48"/>
      <c r="X48"/>
      <c r="Y48"/>
      <c r="Z48"/>
      <c r="AA48"/>
      <c r="AB48"/>
    </row>
    <row r="49" spans="1:28" s="10" customFormat="1" ht="16" thickBot="1" x14ac:dyDescent="0.25">
      <c r="C49" s="20" t="s">
        <v>8</v>
      </c>
      <c r="D49" s="30">
        <f>$F$1*D48</f>
        <v>1.4550000000000001</v>
      </c>
      <c r="E49" s="31">
        <f t="shared" ref="E49:S49" si="24">$F$1*E48</f>
        <v>2.2310000000000003</v>
      </c>
      <c r="F49" s="31">
        <f t="shared" si="24"/>
        <v>3.5058571428571432</v>
      </c>
      <c r="G49" s="31">
        <f t="shared" si="24"/>
        <v>5.6633076923076908</v>
      </c>
      <c r="H49" s="31">
        <f t="shared" si="24"/>
        <v>9.4388461538461534</v>
      </c>
      <c r="I49" s="31">
        <f t="shared" si="24"/>
        <v>16.303461538461541</v>
      </c>
      <c r="J49" s="31">
        <f t="shared" si="24"/>
        <v>29.346230769230768</v>
      </c>
      <c r="K49" s="31">
        <f t="shared" si="24"/>
        <v>55.431769230769234</v>
      </c>
      <c r="L49" s="31">
        <f t="shared" si="24"/>
        <v>110.86353846153847</v>
      </c>
      <c r="M49" s="31">
        <f t="shared" si="24"/>
        <v>237.56472527472528</v>
      </c>
      <c r="N49" s="31">
        <f t="shared" si="24"/>
        <v>554.31769230769237</v>
      </c>
      <c r="O49" s="31">
        <f t="shared" si="24"/>
        <v>1441.2260000000003</v>
      </c>
      <c r="P49" s="31">
        <f t="shared" si="24"/>
        <v>4323.6780000000008</v>
      </c>
      <c r="Q49" s="31">
        <f t="shared" si="24"/>
        <v>15853.486000000001</v>
      </c>
      <c r="R49" s="31">
        <f t="shared" si="24"/>
        <v>79267.429999999993</v>
      </c>
      <c r="S49" s="31">
        <f t="shared" si="24"/>
        <v>713406.87</v>
      </c>
      <c r="T49" s="31"/>
      <c r="U49" s="23"/>
      <c r="V49"/>
      <c r="W49"/>
      <c r="X49"/>
      <c r="Y49"/>
      <c r="Z49"/>
      <c r="AA49"/>
      <c r="AB49"/>
    </row>
    <row r="50" spans="1:28" ht="16" thickBot="1" x14ac:dyDescent="0.25"/>
    <row r="51" spans="1:28" s="10" customFormat="1" ht="16" thickBot="1" x14ac:dyDescent="0.25">
      <c r="A51" s="5" t="s">
        <v>16</v>
      </c>
      <c r="B51" s="6" t="s">
        <v>3</v>
      </c>
      <c r="C51" s="7" t="s">
        <v>4</v>
      </c>
      <c r="D51" s="51" t="s">
        <v>5</v>
      </c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3"/>
      <c r="U51"/>
      <c r="V51"/>
      <c r="W51"/>
      <c r="X51"/>
      <c r="Y51"/>
      <c r="Z51"/>
      <c r="AA51"/>
      <c r="AB51"/>
    </row>
    <row r="52" spans="1:28" s="10" customFormat="1" ht="16" thickBot="1" x14ac:dyDescent="0.25">
      <c r="A52" s="11"/>
      <c r="B52" s="7">
        <v>9</v>
      </c>
      <c r="C52" s="12">
        <f>$C$1-B52</f>
        <v>15</v>
      </c>
      <c r="D52" s="6">
        <v>1</v>
      </c>
      <c r="E52" s="8">
        <f>D52+1</f>
        <v>2</v>
      </c>
      <c r="F52" s="8">
        <f t="shared" ref="F52:T52" si="25">E52+1</f>
        <v>3</v>
      </c>
      <c r="G52" s="8">
        <f t="shared" si="25"/>
        <v>4</v>
      </c>
      <c r="H52" s="8">
        <f t="shared" si="25"/>
        <v>5</v>
      </c>
      <c r="I52" s="8">
        <f t="shared" si="25"/>
        <v>6</v>
      </c>
      <c r="J52" s="8">
        <f t="shared" si="25"/>
        <v>7</v>
      </c>
      <c r="K52" s="8">
        <f t="shared" si="25"/>
        <v>8</v>
      </c>
      <c r="L52" s="8">
        <f t="shared" si="25"/>
        <v>9</v>
      </c>
      <c r="M52" s="8">
        <f t="shared" si="25"/>
        <v>10</v>
      </c>
      <c r="N52" s="8">
        <f t="shared" si="25"/>
        <v>11</v>
      </c>
      <c r="O52" s="8">
        <f t="shared" si="25"/>
        <v>12</v>
      </c>
      <c r="P52" s="8">
        <f t="shared" si="25"/>
        <v>13</v>
      </c>
      <c r="Q52" s="8">
        <f t="shared" si="25"/>
        <v>14</v>
      </c>
      <c r="R52" s="8">
        <f t="shared" si="25"/>
        <v>15</v>
      </c>
      <c r="S52" s="8">
        <f t="shared" si="25"/>
        <v>16</v>
      </c>
      <c r="T52" s="9">
        <f t="shared" si="25"/>
        <v>17</v>
      </c>
      <c r="U52"/>
      <c r="V52"/>
      <c r="W52"/>
      <c r="X52"/>
      <c r="Y52"/>
      <c r="Z52"/>
      <c r="AA52"/>
      <c r="AB52"/>
    </row>
    <row r="53" spans="1:28" s="10" customFormat="1" x14ac:dyDescent="0.2">
      <c r="C53" s="13" t="s">
        <v>6</v>
      </c>
      <c r="D53" s="37">
        <f>COMBIN($C$52,D52)/COMBIN($C$1,D52)</f>
        <v>0.625</v>
      </c>
      <c r="E53" s="36">
        <f>COMBIN($C$52,E52)/COMBIN($C$1,E52)</f>
        <v>0.38043478260869568</v>
      </c>
      <c r="F53" s="36">
        <f>COMBIN($C$52,F52)/COMBIN($C$1,F52)</f>
        <v>0.22480237154150198</v>
      </c>
      <c r="G53" s="36">
        <f>COMBIN($C$52,G52)/COMBIN($C$1,G52)</f>
        <v>0.12845849802371542</v>
      </c>
      <c r="H53" s="36">
        <f>COMBIN($C$52,H52)/COMBIN($C$1,H52)</f>
        <v>7.0652173913043487E-2</v>
      </c>
      <c r="I53" s="36">
        <f>COMBIN($C$52,I52)/COMBIN($C$1,I52)</f>
        <v>3.7185354691075506E-2</v>
      </c>
      <c r="J53" s="36">
        <f>COMBIN($C$52,J52)/COMBIN($C$1,J52)</f>
        <v>1.8592677345537753E-2</v>
      </c>
      <c r="K53" s="36">
        <f>COMBIN($C$52,K52)/COMBIN($C$1,K52)</f>
        <v>8.7494952214295322E-3</v>
      </c>
      <c r="L53" s="36">
        <f>COMBIN($C$52,L52)/COMBIN($C$1,L52)</f>
        <v>3.8279041593754204E-3</v>
      </c>
      <c r="M53" s="36">
        <f>COMBIN($C$52,M52)/COMBIN($C$1,M52)</f>
        <v>1.5311616637501682E-3</v>
      </c>
      <c r="N53" s="36">
        <f>COMBIN($C$52,N52)/COMBIN($C$1,N52)</f>
        <v>5.4684345133934565E-4</v>
      </c>
      <c r="O53" s="36">
        <f>COMBIN($C$52,O52)/COMBIN($C$1,O52)</f>
        <v>1.6825952348902944E-4</v>
      </c>
      <c r="P53" s="36">
        <f>COMBIN($C$52,P52)/COMBIN($C$1,P52)</f>
        <v>4.2064880872257361E-5</v>
      </c>
      <c r="Q53" s="36">
        <f>COMBIN($C$52,Q52)/COMBIN($C$1,Q52)</f>
        <v>7.6481601585922484E-6</v>
      </c>
      <c r="R53" s="36">
        <f>COMBIN($C$52,R52)/COMBIN($C$1,R52)</f>
        <v>7.6481601585922486E-7</v>
      </c>
      <c r="S53" s="36"/>
      <c r="T53" s="16"/>
      <c r="U53"/>
      <c r="V53"/>
      <c r="W53"/>
      <c r="X53"/>
      <c r="Y53"/>
      <c r="Z53"/>
      <c r="AA53"/>
      <c r="AB53"/>
    </row>
    <row r="54" spans="1:28" s="10" customFormat="1" x14ac:dyDescent="0.2">
      <c r="C54" s="17" t="s">
        <v>7</v>
      </c>
      <c r="D54" s="37">
        <f>1/D53</f>
        <v>1.6</v>
      </c>
      <c r="E54" s="10">
        <f t="shared" ref="E54:R54" si="26">1/E53</f>
        <v>2.6285714285714286</v>
      </c>
      <c r="F54" s="10">
        <f t="shared" si="26"/>
        <v>4.4483516483516485</v>
      </c>
      <c r="G54" s="10">
        <f t="shared" si="26"/>
        <v>7.7846153846153845</v>
      </c>
      <c r="H54" s="10">
        <f t="shared" si="26"/>
        <v>14.153846153846152</v>
      </c>
      <c r="I54" s="10">
        <f t="shared" si="26"/>
        <v>26.8923076923077</v>
      </c>
      <c r="J54" s="10">
        <f t="shared" si="26"/>
        <v>53.7846153846154</v>
      </c>
      <c r="K54" s="10">
        <f t="shared" si="26"/>
        <v>114.2923076923077</v>
      </c>
      <c r="L54" s="10">
        <f t="shared" si="26"/>
        <v>261.23956043956048</v>
      </c>
      <c r="M54" s="10">
        <f t="shared" si="26"/>
        <v>653.09890109890114</v>
      </c>
      <c r="N54" s="10">
        <f t="shared" si="26"/>
        <v>1828.6769230769237</v>
      </c>
      <c r="O54" s="10">
        <f t="shared" si="26"/>
        <v>5943.2000000000016</v>
      </c>
      <c r="P54" s="10">
        <f t="shared" si="26"/>
        <v>23772.800000000007</v>
      </c>
      <c r="Q54" s="10">
        <f t="shared" si="26"/>
        <v>130750.40000000001</v>
      </c>
      <c r="R54" s="10">
        <f t="shared" si="26"/>
        <v>1307504</v>
      </c>
      <c r="T54" s="12"/>
      <c r="U54"/>
      <c r="V54"/>
      <c r="W54"/>
      <c r="X54"/>
      <c r="Y54"/>
      <c r="Z54"/>
      <c r="AA54"/>
      <c r="AB54"/>
    </row>
    <row r="55" spans="1:28" s="10" customFormat="1" ht="16" thickBot="1" x14ac:dyDescent="0.25">
      <c r="C55" s="20" t="s">
        <v>8</v>
      </c>
      <c r="D55" s="11">
        <f>$F$1*D54</f>
        <v>1.552</v>
      </c>
      <c r="E55" s="38">
        <f t="shared" ref="E55:R55" si="27">$F$1*E54</f>
        <v>2.5497142857142858</v>
      </c>
      <c r="F55" s="22">
        <f t="shared" si="27"/>
        <v>4.3149010989010987</v>
      </c>
      <c r="G55" s="22">
        <f t="shared" si="27"/>
        <v>7.5510769230769226</v>
      </c>
      <c r="H55" s="22">
        <f t="shared" si="27"/>
        <v>13.729230769230767</v>
      </c>
      <c r="I55" s="22">
        <f t="shared" si="27"/>
        <v>26.085538461538469</v>
      </c>
      <c r="J55" s="22">
        <f t="shared" si="27"/>
        <v>52.171076923076939</v>
      </c>
      <c r="K55" s="22">
        <f t="shared" si="27"/>
        <v>110.86353846153847</v>
      </c>
      <c r="L55" s="22">
        <f t="shared" si="27"/>
        <v>253.40237362637365</v>
      </c>
      <c r="M55" s="22">
        <f t="shared" si="27"/>
        <v>633.50593406593407</v>
      </c>
      <c r="N55" s="22">
        <f t="shared" si="27"/>
        <v>1773.8166153846159</v>
      </c>
      <c r="O55" s="22">
        <f t="shared" si="27"/>
        <v>5764.9040000000014</v>
      </c>
      <c r="P55" s="22">
        <f t="shared" si="27"/>
        <v>23059.616000000005</v>
      </c>
      <c r="Q55" s="22">
        <f t="shared" si="27"/>
        <v>126827.88800000001</v>
      </c>
      <c r="R55" s="22">
        <f t="shared" si="27"/>
        <v>1268278.8799999999</v>
      </c>
      <c r="S55" s="22"/>
      <c r="T55" s="23"/>
      <c r="U55"/>
      <c r="V55"/>
      <c r="W55"/>
      <c r="X55"/>
      <c r="Y55"/>
      <c r="Z55"/>
      <c r="AA55"/>
      <c r="AB55"/>
    </row>
    <row r="56" spans="1:28" ht="16" thickBot="1" x14ac:dyDescent="0.25"/>
    <row r="57" spans="1:28" s="10" customFormat="1" ht="16" thickBot="1" x14ac:dyDescent="0.25">
      <c r="A57" s="5" t="s">
        <v>17</v>
      </c>
      <c r="B57" s="6" t="s">
        <v>3</v>
      </c>
      <c r="C57" s="7" t="s">
        <v>4</v>
      </c>
      <c r="D57" s="51" t="s">
        <v>5</v>
      </c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3"/>
      <c r="T57"/>
      <c r="U57"/>
      <c r="V57"/>
      <c r="W57"/>
      <c r="X57"/>
      <c r="Y57"/>
      <c r="Z57"/>
      <c r="AA57"/>
      <c r="AB57"/>
    </row>
    <row r="58" spans="1:28" s="10" customFormat="1" ht="16" thickBot="1" x14ac:dyDescent="0.25">
      <c r="A58" s="11"/>
      <c r="B58" s="7">
        <v>10</v>
      </c>
      <c r="C58" s="12">
        <f>$C$1-B58</f>
        <v>14</v>
      </c>
      <c r="D58" s="6">
        <v>1</v>
      </c>
      <c r="E58" s="8">
        <f>D58+1</f>
        <v>2</v>
      </c>
      <c r="F58" s="8">
        <f t="shared" ref="F58:S58" si="28">E58+1</f>
        <v>3</v>
      </c>
      <c r="G58" s="8">
        <f t="shared" si="28"/>
        <v>4</v>
      </c>
      <c r="H58" s="8">
        <f t="shared" si="28"/>
        <v>5</v>
      </c>
      <c r="I58" s="8">
        <f t="shared" si="28"/>
        <v>6</v>
      </c>
      <c r="J58" s="8">
        <f t="shared" si="28"/>
        <v>7</v>
      </c>
      <c r="K58" s="8">
        <f t="shared" si="28"/>
        <v>8</v>
      </c>
      <c r="L58" s="8">
        <f t="shared" si="28"/>
        <v>9</v>
      </c>
      <c r="M58" s="8">
        <f t="shared" si="28"/>
        <v>10</v>
      </c>
      <c r="N58" s="8">
        <f t="shared" si="28"/>
        <v>11</v>
      </c>
      <c r="O58" s="8">
        <f t="shared" si="28"/>
        <v>12</v>
      </c>
      <c r="P58" s="8">
        <f t="shared" si="28"/>
        <v>13</v>
      </c>
      <c r="Q58" s="8">
        <f t="shared" si="28"/>
        <v>14</v>
      </c>
      <c r="R58" s="8">
        <f t="shared" si="28"/>
        <v>15</v>
      </c>
      <c r="S58" s="9">
        <f t="shared" si="28"/>
        <v>16</v>
      </c>
      <c r="T58"/>
      <c r="U58"/>
      <c r="V58"/>
      <c r="W58"/>
      <c r="X58"/>
      <c r="Y58"/>
      <c r="Z58"/>
      <c r="AA58"/>
      <c r="AB58"/>
    </row>
    <row r="59" spans="1:28" s="10" customFormat="1" x14ac:dyDescent="0.2">
      <c r="C59" s="13" t="s">
        <v>6</v>
      </c>
      <c r="D59" s="5">
        <f>COMBIN($C$58,D58)/COMBIN($C$1,D58)</f>
        <v>0.58333333333333337</v>
      </c>
      <c r="E59" s="36">
        <f>COMBIN($C$58,E58)/COMBIN($C$1,E58)</f>
        <v>0.32971014492753625</v>
      </c>
      <c r="F59" s="36">
        <f>COMBIN($C$58,F58)/COMBIN($C$1,F58)</f>
        <v>0.17984189723320157</v>
      </c>
      <c r="G59" s="36">
        <f>COMBIN($C$58,G58)/COMBIN($C$1,G58)</f>
        <v>9.420289855072464E-2</v>
      </c>
      <c r="H59" s="36">
        <f>COMBIN($C$58,H58)/COMBIN($C$1,H58)</f>
        <v>4.7101449275362327E-2</v>
      </c>
      <c r="I59" s="36">
        <f>COMBIN($C$58,I58)/COMBIN($C$1,I58)</f>
        <v>2.23112128146453E-2</v>
      </c>
      <c r="J59" s="36">
        <f>COMBIN($C$58,J58)/COMBIN($C$1,J58)</f>
        <v>9.9160945842868033E-3</v>
      </c>
      <c r="K59" s="36">
        <f>COMBIN($C$58,K58)/COMBIN($C$1,K58)</f>
        <v>4.0830977700004479E-3</v>
      </c>
      <c r="L59" s="36">
        <f>COMBIN($C$58,L58)/COMBIN($C$1,L58)</f>
        <v>1.5311616637501682E-3</v>
      </c>
      <c r="M59" s="36">
        <f>COMBIN($C$58,M58)/COMBIN($C$1,M58)</f>
        <v>5.103872212500561E-4</v>
      </c>
      <c r="N59" s="36">
        <f>COMBIN($C$58,N58)/COMBIN($C$1,N58)</f>
        <v>1.4582492035715886E-4</v>
      </c>
      <c r="O59" s="36">
        <f>COMBIN($C$58,O58)/COMBIN($C$1,O58)</f>
        <v>3.3651904697805888E-5</v>
      </c>
      <c r="P59" s="36">
        <f>COMBIN($C$58,P58)/COMBIN($C$1,P58)</f>
        <v>5.6086507829676485E-6</v>
      </c>
      <c r="Q59" s="36">
        <f>COMBIN($C$58,Q58)/COMBIN($C$1,Q58)</f>
        <v>5.0987734390614998E-7</v>
      </c>
      <c r="R59" s="36"/>
      <c r="S59" s="16"/>
      <c r="T59"/>
      <c r="U59"/>
      <c r="V59"/>
      <c r="W59"/>
      <c r="X59"/>
      <c r="Y59"/>
      <c r="Z59"/>
      <c r="AA59"/>
      <c r="AB59"/>
    </row>
    <row r="60" spans="1:28" s="10" customFormat="1" x14ac:dyDescent="0.2">
      <c r="C60" s="17" t="s">
        <v>7</v>
      </c>
      <c r="D60" s="37">
        <f>1/D59</f>
        <v>1.7142857142857142</v>
      </c>
      <c r="E60" s="10">
        <f t="shared" ref="E60:Q60" si="29">1/E59</f>
        <v>3.0329670329670328</v>
      </c>
      <c r="F60" s="10">
        <f t="shared" si="29"/>
        <v>5.5604395604395611</v>
      </c>
      <c r="G60" s="10">
        <f t="shared" si="29"/>
        <v>10.615384615384615</v>
      </c>
      <c r="H60" s="10">
        <f t="shared" si="29"/>
        <v>21.230769230769226</v>
      </c>
      <c r="I60" s="10">
        <f t="shared" si="29"/>
        <v>44.820512820512839</v>
      </c>
      <c r="J60" s="10">
        <f t="shared" si="29"/>
        <v>100.84615384615385</v>
      </c>
      <c r="K60" s="10">
        <f t="shared" si="29"/>
        <v>244.91208791208797</v>
      </c>
      <c r="L60" s="10">
        <f t="shared" si="29"/>
        <v>653.09890109890114</v>
      </c>
      <c r="M60" s="10">
        <f t="shared" si="29"/>
        <v>1959.2967032967033</v>
      </c>
      <c r="N60" s="10">
        <f t="shared" si="29"/>
        <v>6857.5384615384628</v>
      </c>
      <c r="O60" s="10">
        <f t="shared" si="29"/>
        <v>29716.000000000007</v>
      </c>
      <c r="P60" s="10">
        <f t="shared" si="29"/>
        <v>178296.00000000003</v>
      </c>
      <c r="Q60" s="10">
        <f t="shared" si="29"/>
        <v>1961255.9999999998</v>
      </c>
      <c r="S60" s="12"/>
      <c r="T60"/>
      <c r="U60"/>
      <c r="V60"/>
      <c r="W60"/>
      <c r="X60"/>
      <c r="Y60"/>
      <c r="Z60"/>
      <c r="AA60"/>
      <c r="AB60"/>
    </row>
    <row r="61" spans="1:28" s="10" customFormat="1" ht="16" thickBot="1" x14ac:dyDescent="0.25">
      <c r="C61" s="20" t="s">
        <v>8</v>
      </c>
      <c r="D61" s="11">
        <f>$F$1*D60</f>
        <v>1.6628571428571428</v>
      </c>
      <c r="E61" s="38">
        <f t="shared" ref="E61:Q61" si="30">$F$1*E60</f>
        <v>2.9419780219780218</v>
      </c>
      <c r="F61" s="38">
        <f t="shared" si="30"/>
        <v>5.3936263736263745</v>
      </c>
      <c r="G61" s="38">
        <f t="shared" si="30"/>
        <v>10.296923076923076</v>
      </c>
      <c r="H61" s="38">
        <f t="shared" si="30"/>
        <v>20.593846153846147</v>
      </c>
      <c r="I61" s="38">
        <f t="shared" si="30"/>
        <v>43.475897435897451</v>
      </c>
      <c r="J61" s="38">
        <f t="shared" si="30"/>
        <v>97.82076923076923</v>
      </c>
      <c r="K61" s="38">
        <f t="shared" si="30"/>
        <v>237.56472527472533</v>
      </c>
      <c r="L61" s="38">
        <f t="shared" si="30"/>
        <v>633.50593406593407</v>
      </c>
      <c r="M61" s="38">
        <f t="shared" si="30"/>
        <v>1900.5178021978022</v>
      </c>
      <c r="N61" s="38">
        <f t="shared" si="30"/>
        <v>6651.8123076923084</v>
      </c>
      <c r="O61" s="38">
        <f t="shared" si="30"/>
        <v>28824.520000000008</v>
      </c>
      <c r="P61" s="38">
        <f t="shared" si="30"/>
        <v>172947.12000000002</v>
      </c>
      <c r="Q61" s="38">
        <f t="shared" si="30"/>
        <v>1902418.3199999998</v>
      </c>
      <c r="R61" s="38"/>
      <c r="S61" s="23"/>
      <c r="T61"/>
      <c r="U61"/>
      <c r="V61"/>
      <c r="W61"/>
      <c r="X61"/>
      <c r="Y61"/>
      <c r="Z61"/>
      <c r="AA61"/>
      <c r="AB61"/>
    </row>
    <row r="62" spans="1:28" ht="16" thickBot="1" x14ac:dyDescent="0.25"/>
    <row r="63" spans="1:28" s="10" customFormat="1" ht="16" thickBot="1" x14ac:dyDescent="0.25">
      <c r="A63" s="5" t="s">
        <v>18</v>
      </c>
      <c r="B63" s="6" t="s">
        <v>3</v>
      </c>
      <c r="C63" s="7" t="s">
        <v>4</v>
      </c>
      <c r="D63" s="51" t="s">
        <v>5</v>
      </c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3"/>
      <c r="S63"/>
      <c r="T63"/>
      <c r="U63"/>
      <c r="V63"/>
      <c r="W63"/>
      <c r="X63"/>
      <c r="Y63"/>
      <c r="Z63"/>
      <c r="AA63"/>
      <c r="AB63"/>
    </row>
    <row r="64" spans="1:28" s="10" customFormat="1" ht="16" thickBot="1" x14ac:dyDescent="0.25">
      <c r="A64" s="11"/>
      <c r="B64" s="7">
        <v>11</v>
      </c>
      <c r="C64" s="12">
        <f>$C$1-B64</f>
        <v>13</v>
      </c>
      <c r="D64" s="6">
        <v>1</v>
      </c>
      <c r="E64" s="8">
        <f>D64+1</f>
        <v>2</v>
      </c>
      <c r="F64" s="8">
        <f t="shared" ref="F64:R64" si="31">E64+1</f>
        <v>3</v>
      </c>
      <c r="G64" s="8">
        <f t="shared" si="31"/>
        <v>4</v>
      </c>
      <c r="H64" s="8">
        <f t="shared" si="31"/>
        <v>5</v>
      </c>
      <c r="I64" s="8">
        <f t="shared" si="31"/>
        <v>6</v>
      </c>
      <c r="J64" s="8">
        <f t="shared" si="31"/>
        <v>7</v>
      </c>
      <c r="K64" s="8">
        <f t="shared" si="31"/>
        <v>8</v>
      </c>
      <c r="L64" s="8">
        <f t="shared" si="31"/>
        <v>9</v>
      </c>
      <c r="M64" s="8">
        <f t="shared" si="31"/>
        <v>10</v>
      </c>
      <c r="N64" s="8">
        <f t="shared" si="31"/>
        <v>11</v>
      </c>
      <c r="O64" s="8">
        <f t="shared" si="31"/>
        <v>12</v>
      </c>
      <c r="P64" s="8">
        <f t="shared" si="31"/>
        <v>13</v>
      </c>
      <c r="Q64" s="8">
        <f t="shared" si="31"/>
        <v>14</v>
      </c>
      <c r="R64" s="9">
        <f t="shared" si="31"/>
        <v>15</v>
      </c>
      <c r="S64"/>
      <c r="T64"/>
      <c r="U64"/>
      <c r="V64"/>
      <c r="W64"/>
      <c r="X64"/>
      <c r="Y64"/>
      <c r="Z64"/>
      <c r="AA64"/>
      <c r="AB64"/>
    </row>
    <row r="65" spans="1:28" s="10" customFormat="1" x14ac:dyDescent="0.2">
      <c r="C65" s="13" t="s">
        <v>6</v>
      </c>
      <c r="D65" s="5">
        <f>COMBIN($C$64,D64)/COMBIN($C$1,D64)</f>
        <v>0.54166666666666663</v>
      </c>
      <c r="E65" s="36">
        <f>COMBIN($C$64,E64)/COMBIN($C$1,E64)</f>
        <v>0.28260869565217389</v>
      </c>
      <c r="F65" s="36">
        <f>COMBIN($C$64,F64)/COMBIN($C$1,F64)</f>
        <v>0.14130434782608695</v>
      </c>
      <c r="G65" s="36">
        <f>COMBIN($C$64,G64)/COMBIN($C$1,G64)</f>
        <v>6.7287784679089024E-2</v>
      </c>
      <c r="H65" s="36">
        <f>COMBIN($C$64,H64)/COMBIN($C$1,H64)</f>
        <v>3.0279503105590067E-2</v>
      </c>
      <c r="I65" s="36">
        <f>COMBIN($C$64,I64)/COMBIN($C$1,I64)</f>
        <v>1.2749264465511603E-2</v>
      </c>
      <c r="J65" s="36">
        <f>COMBIN($C$64,J64)/COMBIN($C$1,J64)</f>
        <v>4.9580472921434016E-3</v>
      </c>
      <c r="K65" s="36">
        <f>COMBIN($C$64,K64)/COMBIN($C$1,K64)</f>
        <v>1.7498990442859066E-3</v>
      </c>
      <c r="L65" s="36">
        <f>COMBIN($C$64,L64)/COMBIN($C$1,L64)</f>
        <v>5.4684345133934576E-4</v>
      </c>
      <c r="M65" s="36">
        <f>COMBIN($C$64,M64)/COMBIN($C$1,M64)</f>
        <v>1.4582492035715888E-4</v>
      </c>
      <c r="N65" s="36">
        <f>COMBIN($C$64,N64)/COMBIN($C$1,N64)</f>
        <v>3.1248197219391185E-5</v>
      </c>
      <c r="O65" s="36">
        <f>COMBIN($C$64,O64)/COMBIN($C$1,O64)</f>
        <v>4.8074149568294117E-6</v>
      </c>
      <c r="P65" s="36">
        <f>COMBIN($C$64,P64)/COMBIN($C$1,P64)</f>
        <v>4.0061791306911773E-7</v>
      </c>
      <c r="Q65" s="36"/>
      <c r="R65" s="16">
        <f t="shared" ref="R65" si="32">1-(R64/25)</f>
        <v>0.4</v>
      </c>
      <c r="S65"/>
      <c r="T65"/>
      <c r="U65"/>
      <c r="V65"/>
      <c r="W65"/>
      <c r="X65"/>
      <c r="Y65"/>
      <c r="Z65"/>
      <c r="AA65"/>
      <c r="AB65"/>
    </row>
    <row r="66" spans="1:28" s="10" customFormat="1" x14ac:dyDescent="0.2">
      <c r="C66" s="17" t="s">
        <v>7</v>
      </c>
      <c r="D66" s="44">
        <f>1/D65</f>
        <v>1.8461538461538463</v>
      </c>
      <c r="E66" s="45">
        <f t="shared" ref="E66:P66" si="33">1/E65</f>
        <v>3.5384615384615388</v>
      </c>
      <c r="F66" s="45">
        <f t="shared" si="33"/>
        <v>7.0769230769230775</v>
      </c>
      <c r="G66" s="45">
        <f t="shared" si="33"/>
        <v>14.861538461538462</v>
      </c>
      <c r="H66" s="45">
        <f t="shared" si="33"/>
        <v>33.025641025641022</v>
      </c>
      <c r="I66" s="45">
        <f t="shared" si="33"/>
        <v>78.435897435897445</v>
      </c>
      <c r="J66" s="45">
        <f t="shared" si="33"/>
        <v>201.69230769230771</v>
      </c>
      <c r="K66" s="45">
        <f t="shared" si="33"/>
        <v>571.46153846153845</v>
      </c>
      <c r="L66" s="45">
        <f t="shared" si="33"/>
        <v>1828.6769230769232</v>
      </c>
      <c r="M66" s="45">
        <f t="shared" si="33"/>
        <v>6857.538461538461</v>
      </c>
      <c r="N66" s="45">
        <f t="shared" si="33"/>
        <v>32001.84615384616</v>
      </c>
      <c r="O66" s="45">
        <f t="shared" si="33"/>
        <v>208012.00000000009</v>
      </c>
      <c r="P66" s="45">
        <f t="shared" si="33"/>
        <v>2496144.0000000005</v>
      </c>
      <c r="Q66" s="45"/>
      <c r="R66" s="12"/>
      <c r="S66"/>
      <c r="T66"/>
      <c r="U66"/>
      <c r="V66"/>
      <c r="W66"/>
      <c r="X66"/>
      <c r="Y66"/>
      <c r="Z66"/>
      <c r="AA66"/>
      <c r="AB66"/>
    </row>
    <row r="67" spans="1:28" s="10" customFormat="1" ht="16" thickBot="1" x14ac:dyDescent="0.25">
      <c r="C67" s="20" t="s">
        <v>8</v>
      </c>
      <c r="D67" s="46">
        <f>$F$1*D66</f>
        <v>1.7907692307692309</v>
      </c>
      <c r="E67" s="47">
        <f t="shared" ref="E67:P67" si="34">$F$1*E66</f>
        <v>3.4323076923076927</v>
      </c>
      <c r="F67" s="47">
        <f t="shared" si="34"/>
        <v>6.8646153846153855</v>
      </c>
      <c r="G67" s="47">
        <f t="shared" si="34"/>
        <v>14.415692307692307</v>
      </c>
      <c r="H67" s="47">
        <f t="shared" si="34"/>
        <v>32.03487179487179</v>
      </c>
      <c r="I67" s="47">
        <f t="shared" si="34"/>
        <v>76.082820512820518</v>
      </c>
      <c r="J67" s="47">
        <f t="shared" si="34"/>
        <v>195.64153846153846</v>
      </c>
      <c r="K67" s="47">
        <f t="shared" si="34"/>
        <v>554.31769230769225</v>
      </c>
      <c r="L67" s="47">
        <f t="shared" si="34"/>
        <v>1773.8166153846155</v>
      </c>
      <c r="M67" s="47">
        <f t="shared" si="34"/>
        <v>6651.8123076923066</v>
      </c>
      <c r="N67" s="47">
        <f t="shared" si="34"/>
        <v>31041.790769230774</v>
      </c>
      <c r="O67" s="47">
        <f t="shared" si="34"/>
        <v>201771.64000000007</v>
      </c>
      <c r="P67" s="47">
        <f t="shared" si="34"/>
        <v>2421259.6800000002</v>
      </c>
      <c r="Q67" s="47"/>
      <c r="R67" s="23"/>
      <c r="S67"/>
      <c r="T67"/>
      <c r="U67"/>
      <c r="V67"/>
      <c r="W67"/>
      <c r="X67"/>
      <c r="Y67"/>
      <c r="Z67"/>
      <c r="AA67"/>
      <c r="AB67"/>
    </row>
    <row r="68" spans="1:28" ht="16" thickBot="1" x14ac:dyDescent="0.25"/>
    <row r="69" spans="1:28" s="10" customFormat="1" ht="16" thickBot="1" x14ac:dyDescent="0.25">
      <c r="A69" s="5" t="s">
        <v>19</v>
      </c>
      <c r="B69" s="6" t="s">
        <v>3</v>
      </c>
      <c r="C69" s="7" t="s">
        <v>4</v>
      </c>
      <c r="D69" s="51" t="s">
        <v>5</v>
      </c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3"/>
      <c r="R69"/>
      <c r="S69"/>
      <c r="T69"/>
      <c r="U69"/>
      <c r="V69"/>
      <c r="W69"/>
      <c r="X69"/>
      <c r="Y69"/>
      <c r="Z69"/>
      <c r="AA69"/>
      <c r="AB69"/>
    </row>
    <row r="70" spans="1:28" s="10" customFormat="1" ht="16" thickBot="1" x14ac:dyDescent="0.25">
      <c r="A70" s="11"/>
      <c r="B70" s="7">
        <v>12</v>
      </c>
      <c r="C70" s="12">
        <f>$C$1-B70</f>
        <v>12</v>
      </c>
      <c r="D70" s="6">
        <v>1</v>
      </c>
      <c r="E70" s="8">
        <f>D70+1</f>
        <v>2</v>
      </c>
      <c r="F70" s="8">
        <f t="shared" ref="F70:Q70" si="35">E70+1</f>
        <v>3</v>
      </c>
      <c r="G70" s="8">
        <f t="shared" si="35"/>
        <v>4</v>
      </c>
      <c r="H70" s="8">
        <f t="shared" si="35"/>
        <v>5</v>
      </c>
      <c r="I70" s="8">
        <f t="shared" si="35"/>
        <v>6</v>
      </c>
      <c r="J70" s="8">
        <f t="shared" si="35"/>
        <v>7</v>
      </c>
      <c r="K70" s="8">
        <f t="shared" si="35"/>
        <v>8</v>
      </c>
      <c r="L70" s="8">
        <f t="shared" si="35"/>
        <v>9</v>
      </c>
      <c r="M70" s="8">
        <f t="shared" si="35"/>
        <v>10</v>
      </c>
      <c r="N70" s="8">
        <f t="shared" si="35"/>
        <v>11</v>
      </c>
      <c r="O70" s="8">
        <f t="shared" si="35"/>
        <v>12</v>
      </c>
      <c r="P70" s="8">
        <f t="shared" si="35"/>
        <v>13</v>
      </c>
      <c r="Q70" s="9">
        <f t="shared" si="35"/>
        <v>14</v>
      </c>
      <c r="R70"/>
      <c r="S70"/>
      <c r="T70"/>
      <c r="U70"/>
      <c r="V70"/>
      <c r="W70"/>
      <c r="X70"/>
      <c r="Y70"/>
      <c r="Z70"/>
      <c r="AA70"/>
      <c r="AB70"/>
    </row>
    <row r="71" spans="1:28" s="10" customFormat="1" x14ac:dyDescent="0.2">
      <c r="C71" s="13" t="s">
        <v>6</v>
      </c>
      <c r="D71" s="5">
        <f>COMBIN($C$70,D70)/COMBIN($C$1,D70)</f>
        <v>0.5</v>
      </c>
      <c r="E71" s="36">
        <f>COMBIN($C$70,E70)/COMBIN($C$1,E70)</f>
        <v>0.2391304347826087</v>
      </c>
      <c r="F71" s="36">
        <f>COMBIN($C$70,F70)/COMBIN($C$1,F70)</f>
        <v>0.10869565217391303</v>
      </c>
      <c r="G71" s="36">
        <f>COMBIN($C$70,G70)/COMBIN($C$1,G70)</f>
        <v>4.6583850931677016E-2</v>
      </c>
      <c r="H71" s="36">
        <f>COMBIN($C$70,H70)/COMBIN($C$1,H70)</f>
        <v>1.8633540372670811E-2</v>
      </c>
      <c r="I71" s="36">
        <f>COMBIN($C$70,I70)/COMBIN($C$1,I70)</f>
        <v>6.8649885583523997E-3</v>
      </c>
      <c r="J71" s="36">
        <f>COMBIN($C$70,J70)/COMBIN($C$1,J70)</f>
        <v>2.2883295194508009E-3</v>
      </c>
      <c r="K71" s="36">
        <f>COMBIN($C$70,K70)/COMBIN($C$1,K70)</f>
        <v>6.7303809395611789E-4</v>
      </c>
      <c r="L71" s="36">
        <f>COMBIN($C$70,L70)/COMBIN($C$1,L70)</f>
        <v>1.6825952348902947E-4</v>
      </c>
      <c r="M71" s="36">
        <f>COMBIN($C$70,M70)/COMBIN($C$1,M70)</f>
        <v>3.3651904697805894E-5</v>
      </c>
      <c r="N71" s="36">
        <f>COMBIN($C$70,N70)/COMBIN($C$1,N70)</f>
        <v>4.8074149568294125E-6</v>
      </c>
      <c r="O71" s="36">
        <f>COMBIN($C$70,O70)/COMBIN($C$1,O70)</f>
        <v>3.6980115052533939E-7</v>
      </c>
      <c r="P71" s="36"/>
      <c r="Q71" s="16"/>
      <c r="R71"/>
      <c r="S71"/>
      <c r="T71"/>
      <c r="U71"/>
      <c r="V71"/>
      <c r="W71"/>
      <c r="X71"/>
      <c r="Y71"/>
      <c r="Z71"/>
      <c r="AA71"/>
      <c r="AB71"/>
    </row>
    <row r="72" spans="1:28" s="10" customFormat="1" x14ac:dyDescent="0.2">
      <c r="C72" s="17" t="s">
        <v>7</v>
      </c>
      <c r="D72" s="37">
        <f>1/D71</f>
        <v>2</v>
      </c>
      <c r="E72" s="10">
        <f t="shared" ref="E72:O72" si="36">1/E71</f>
        <v>4.1818181818181817</v>
      </c>
      <c r="F72" s="10">
        <f t="shared" si="36"/>
        <v>9.2000000000000011</v>
      </c>
      <c r="G72" s="10">
        <f t="shared" si="36"/>
        <v>21.466666666666669</v>
      </c>
      <c r="H72" s="10">
        <f t="shared" si="36"/>
        <v>53.666666666666657</v>
      </c>
      <c r="I72" s="10">
        <f t="shared" si="36"/>
        <v>145.66666666666674</v>
      </c>
      <c r="J72" s="10">
        <f t="shared" si="36"/>
        <v>437</v>
      </c>
      <c r="K72" s="10">
        <f t="shared" si="36"/>
        <v>1485.8</v>
      </c>
      <c r="L72" s="10">
        <f t="shared" si="36"/>
        <v>5943.2</v>
      </c>
      <c r="M72" s="10">
        <f t="shared" si="36"/>
        <v>29716</v>
      </c>
      <c r="N72" s="10">
        <f t="shared" si="36"/>
        <v>208012.00000000006</v>
      </c>
      <c r="O72" s="10">
        <f t="shared" si="36"/>
        <v>2704156.0000000009</v>
      </c>
      <c r="Q72" s="12"/>
      <c r="R72"/>
      <c r="S72"/>
      <c r="T72"/>
      <c r="U72"/>
      <c r="V72"/>
      <c r="W72"/>
      <c r="X72"/>
      <c r="Y72"/>
      <c r="Z72"/>
      <c r="AA72"/>
      <c r="AB72"/>
    </row>
    <row r="73" spans="1:28" s="10" customFormat="1" ht="16" thickBot="1" x14ac:dyDescent="0.25">
      <c r="C73" s="20" t="s">
        <v>8</v>
      </c>
      <c r="D73" s="11">
        <f>$F$1*D72</f>
        <v>1.94</v>
      </c>
      <c r="E73" s="38">
        <f t="shared" ref="E73:O73" si="37">$F$1*E72</f>
        <v>4.0563636363636357</v>
      </c>
      <c r="F73" s="38">
        <f t="shared" si="37"/>
        <v>8.9240000000000013</v>
      </c>
      <c r="G73" s="38">
        <f t="shared" si="37"/>
        <v>20.822666666666667</v>
      </c>
      <c r="H73" s="38">
        <f t="shared" si="37"/>
        <v>52.056666666666658</v>
      </c>
      <c r="I73" s="38">
        <f t="shared" si="37"/>
        <v>141.29666666666674</v>
      </c>
      <c r="J73" s="38">
        <f t="shared" si="37"/>
        <v>423.89</v>
      </c>
      <c r="K73" s="38">
        <f t="shared" si="37"/>
        <v>1441.2259999999999</v>
      </c>
      <c r="L73" s="38">
        <f t="shared" si="37"/>
        <v>5764.9039999999995</v>
      </c>
      <c r="M73" s="38">
        <f t="shared" si="37"/>
        <v>28824.52</v>
      </c>
      <c r="N73" s="38">
        <f t="shared" si="37"/>
        <v>201771.64000000004</v>
      </c>
      <c r="O73" s="38">
        <f t="shared" si="37"/>
        <v>2623031.3200000008</v>
      </c>
      <c r="P73" s="38"/>
      <c r="Q73" s="23"/>
      <c r="R73"/>
      <c r="S73"/>
      <c r="T73"/>
      <c r="U73"/>
      <c r="V73"/>
      <c r="W73"/>
      <c r="X73"/>
      <c r="Y73"/>
      <c r="Z73"/>
      <c r="AA73"/>
      <c r="AB73"/>
    </row>
    <row r="74" spans="1:28" ht="16" thickBot="1" x14ac:dyDescent="0.25"/>
    <row r="75" spans="1:28" s="10" customFormat="1" ht="16" thickBot="1" x14ac:dyDescent="0.25">
      <c r="A75" s="5" t="s">
        <v>20</v>
      </c>
      <c r="B75" s="6" t="s">
        <v>3</v>
      </c>
      <c r="C75" s="7" t="s">
        <v>4</v>
      </c>
      <c r="D75" s="51" t="s">
        <v>5</v>
      </c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3"/>
      <c r="Q75"/>
      <c r="R75"/>
      <c r="S75"/>
      <c r="T75"/>
      <c r="U75"/>
      <c r="V75"/>
      <c r="W75"/>
      <c r="X75"/>
      <c r="Y75"/>
      <c r="Z75"/>
      <c r="AA75"/>
      <c r="AB75"/>
    </row>
    <row r="76" spans="1:28" s="10" customFormat="1" ht="16" thickBot="1" x14ac:dyDescent="0.25">
      <c r="A76" s="11"/>
      <c r="B76" s="7">
        <v>13</v>
      </c>
      <c r="C76" s="12">
        <f>$C$1-B76</f>
        <v>11</v>
      </c>
      <c r="D76" s="6">
        <v>1</v>
      </c>
      <c r="E76" s="8">
        <f>D76+1</f>
        <v>2</v>
      </c>
      <c r="F76" s="8">
        <f t="shared" ref="F76:P76" si="38">E76+1</f>
        <v>3</v>
      </c>
      <c r="G76" s="8">
        <f t="shared" si="38"/>
        <v>4</v>
      </c>
      <c r="H76" s="8">
        <f t="shared" si="38"/>
        <v>5</v>
      </c>
      <c r="I76" s="8">
        <f t="shared" si="38"/>
        <v>6</v>
      </c>
      <c r="J76" s="8">
        <f t="shared" si="38"/>
        <v>7</v>
      </c>
      <c r="K76" s="8">
        <f t="shared" si="38"/>
        <v>8</v>
      </c>
      <c r="L76" s="8">
        <f t="shared" si="38"/>
        <v>9</v>
      </c>
      <c r="M76" s="8">
        <f t="shared" si="38"/>
        <v>10</v>
      </c>
      <c r="N76" s="8">
        <f t="shared" si="38"/>
        <v>11</v>
      </c>
      <c r="O76" s="8">
        <f t="shared" si="38"/>
        <v>12</v>
      </c>
      <c r="P76" s="9">
        <f t="shared" si="38"/>
        <v>13</v>
      </c>
      <c r="Q76"/>
      <c r="R76"/>
      <c r="S76"/>
      <c r="T76"/>
      <c r="U76"/>
      <c r="V76"/>
      <c r="W76"/>
      <c r="X76"/>
      <c r="Y76"/>
      <c r="Z76"/>
      <c r="AA76"/>
      <c r="AB76"/>
    </row>
    <row r="77" spans="1:28" s="10" customFormat="1" x14ac:dyDescent="0.2">
      <c r="C77" s="13" t="s">
        <v>6</v>
      </c>
      <c r="D77" s="5">
        <f>COMBIN($C$76,D76)/COMBIN($C$1,D76)</f>
        <v>0.45833333333333331</v>
      </c>
      <c r="E77" s="36">
        <f>COMBIN($C$76,E76)/COMBIN($C$1,E76)</f>
        <v>0.19927536231884058</v>
      </c>
      <c r="F77" s="36">
        <f>COMBIN($C$76,F76)/COMBIN($C$1,F76)</f>
        <v>8.152173913043477E-2</v>
      </c>
      <c r="G77" s="36">
        <f>COMBIN($C$76,G76)/COMBIN($C$1,G76)</f>
        <v>3.1055900621118012E-2</v>
      </c>
      <c r="H77" s="36">
        <f>COMBIN($C$76,H76)/COMBIN($C$1,H76)</f>
        <v>1.0869565217391304E-2</v>
      </c>
      <c r="I77" s="36">
        <f>COMBIN($C$76,I76)/COMBIN($C$1,I76)</f>
        <v>3.4324942791762003E-3</v>
      </c>
      <c r="J77" s="36">
        <f>COMBIN($C$76,J76)/COMBIN($C$1,J76)</f>
        <v>9.5347063310450035E-4</v>
      </c>
      <c r="K77" s="36">
        <f>COMBIN($C$76,K76)/COMBIN($C$1,K76)</f>
        <v>2.2434603131870598E-4</v>
      </c>
      <c r="L77" s="36">
        <f>COMBIN($C$76,L76)/COMBIN($C$1,L76)</f>
        <v>4.2064880872257368E-5</v>
      </c>
      <c r="M77" s="36">
        <f>COMBIN($C$76,M76)/COMBIN($C$1,M76)</f>
        <v>5.6086507829676493E-6</v>
      </c>
      <c r="N77" s="36">
        <f>COMBIN($C$76,N76)/COMBIN($C$1,N76)</f>
        <v>4.0061791306911773E-7</v>
      </c>
      <c r="O77" s="36"/>
      <c r="P77" s="16"/>
      <c r="Q77"/>
      <c r="R77"/>
      <c r="S77"/>
      <c r="T77"/>
      <c r="U77"/>
      <c r="V77"/>
      <c r="W77"/>
      <c r="X77"/>
      <c r="Y77"/>
      <c r="Z77"/>
      <c r="AA77"/>
      <c r="AB77"/>
    </row>
    <row r="78" spans="1:28" s="10" customFormat="1" x14ac:dyDescent="0.2">
      <c r="C78" s="17" t="s">
        <v>7</v>
      </c>
      <c r="D78" s="37">
        <f>1/D77</f>
        <v>2.1818181818181821</v>
      </c>
      <c r="E78" s="10">
        <f t="shared" ref="E78:N78" si="39">1/E77</f>
        <v>5.0181818181818185</v>
      </c>
      <c r="F78" s="10">
        <f t="shared" si="39"/>
        <v>12.266666666666669</v>
      </c>
      <c r="G78" s="10">
        <f t="shared" si="39"/>
        <v>32.200000000000003</v>
      </c>
      <c r="H78" s="10">
        <f t="shared" si="39"/>
        <v>92</v>
      </c>
      <c r="I78" s="10">
        <f t="shared" si="39"/>
        <v>291.33333333333343</v>
      </c>
      <c r="J78" s="10">
        <f t="shared" si="39"/>
        <v>1048.8</v>
      </c>
      <c r="K78" s="10">
        <f t="shared" si="39"/>
        <v>4457.3999999999996</v>
      </c>
      <c r="L78" s="10">
        <f t="shared" si="39"/>
        <v>23772.799999999999</v>
      </c>
      <c r="M78" s="10">
        <f t="shared" si="39"/>
        <v>178296</v>
      </c>
      <c r="N78" s="10">
        <f t="shared" si="39"/>
        <v>2496144.0000000005</v>
      </c>
      <c r="P78" s="12"/>
      <c r="Q78"/>
      <c r="R78"/>
      <c r="S78"/>
      <c r="T78"/>
      <c r="U78"/>
      <c r="V78"/>
      <c r="W78"/>
      <c r="X78"/>
      <c r="Y78"/>
      <c r="Z78"/>
      <c r="AA78"/>
      <c r="AB78"/>
    </row>
    <row r="79" spans="1:28" s="10" customFormat="1" ht="16" thickBot="1" x14ac:dyDescent="0.25">
      <c r="C79" s="20" t="s">
        <v>8</v>
      </c>
      <c r="D79" s="11">
        <f>$F$1*D78</f>
        <v>2.1163636363636367</v>
      </c>
      <c r="E79" s="38">
        <f t="shared" ref="E79:N79" si="40">$F$1*E78</f>
        <v>4.8676363636363638</v>
      </c>
      <c r="F79" s="38">
        <f t="shared" si="40"/>
        <v>11.898666666666669</v>
      </c>
      <c r="G79" s="38">
        <f t="shared" si="40"/>
        <v>31.234000000000002</v>
      </c>
      <c r="H79" s="38">
        <f t="shared" si="40"/>
        <v>89.24</v>
      </c>
      <c r="I79" s="38">
        <f t="shared" si="40"/>
        <v>282.59333333333342</v>
      </c>
      <c r="J79" s="38">
        <f t="shared" si="40"/>
        <v>1017.3359999999999</v>
      </c>
      <c r="K79" s="38">
        <f t="shared" si="40"/>
        <v>4323.6779999999999</v>
      </c>
      <c r="L79" s="38">
        <f t="shared" si="40"/>
        <v>23059.615999999998</v>
      </c>
      <c r="M79" s="38">
        <f t="shared" si="40"/>
        <v>172947.12</v>
      </c>
      <c r="N79" s="38">
        <f t="shared" si="40"/>
        <v>2421259.6800000002</v>
      </c>
      <c r="O79" s="38"/>
      <c r="P79" s="23"/>
      <c r="Q79"/>
      <c r="R79"/>
      <c r="S79"/>
      <c r="T79"/>
      <c r="U79"/>
      <c r="V79"/>
      <c r="W79"/>
      <c r="X79"/>
      <c r="Y79"/>
      <c r="Z79"/>
      <c r="AA79"/>
      <c r="AB79"/>
    </row>
    <row r="80" spans="1:28" ht="16" thickBot="1" x14ac:dyDescent="0.25"/>
    <row r="81" spans="1:28" s="10" customFormat="1" ht="16" thickBot="1" x14ac:dyDescent="0.25">
      <c r="A81" s="5" t="s">
        <v>21</v>
      </c>
      <c r="B81" s="6" t="s">
        <v>3</v>
      </c>
      <c r="C81" s="7" t="s">
        <v>4</v>
      </c>
      <c r="D81" s="51" t="s">
        <v>5</v>
      </c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3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1:28" s="10" customFormat="1" ht="16" thickBot="1" x14ac:dyDescent="0.25">
      <c r="A82" s="11"/>
      <c r="B82" s="7">
        <v>14</v>
      </c>
      <c r="C82" s="12">
        <f>$C$1-B82</f>
        <v>10</v>
      </c>
      <c r="D82" s="6">
        <v>1</v>
      </c>
      <c r="E82" s="8">
        <f>D82+1</f>
        <v>2</v>
      </c>
      <c r="F82" s="8">
        <f t="shared" ref="F82:O82" si="41">E82+1</f>
        <v>3</v>
      </c>
      <c r="G82" s="8">
        <f t="shared" si="41"/>
        <v>4</v>
      </c>
      <c r="H82" s="8">
        <f t="shared" si="41"/>
        <v>5</v>
      </c>
      <c r="I82" s="8">
        <f t="shared" si="41"/>
        <v>6</v>
      </c>
      <c r="J82" s="8">
        <f t="shared" si="41"/>
        <v>7</v>
      </c>
      <c r="K82" s="8">
        <f t="shared" si="41"/>
        <v>8</v>
      </c>
      <c r="L82" s="8">
        <f t="shared" si="41"/>
        <v>9</v>
      </c>
      <c r="M82" s="8">
        <f t="shared" si="41"/>
        <v>10</v>
      </c>
      <c r="N82" s="8">
        <f t="shared" si="41"/>
        <v>11</v>
      </c>
      <c r="O82" s="9">
        <f t="shared" si="41"/>
        <v>12</v>
      </c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1:28" s="10" customFormat="1" x14ac:dyDescent="0.2">
      <c r="C83" s="13" t="s">
        <v>6</v>
      </c>
      <c r="D83" s="5">
        <f>COMBIN($C$82,D82)/COMBIN($C$1,D82)</f>
        <v>0.41666666666666669</v>
      </c>
      <c r="E83" s="36">
        <f>COMBIN($C$82,E82)/COMBIN($C$1,E82)</f>
        <v>0.16304347826086957</v>
      </c>
      <c r="F83" s="36">
        <f>COMBIN($C$82,F82)/COMBIN($C$1,F82)</f>
        <v>5.9288537549407105E-2</v>
      </c>
      <c r="G83" s="36">
        <f>COMBIN($C$82,G82)/COMBIN($C$1,G82)</f>
        <v>1.9762845849802368E-2</v>
      </c>
      <c r="H83" s="36">
        <f>COMBIN($C$82,H82)/COMBIN($C$1,H82)</f>
        <v>5.9288537549407128E-3</v>
      </c>
      <c r="I83" s="36">
        <f>COMBIN($C$82,I82)/COMBIN($C$1,I82)</f>
        <v>1.5602246723528182E-3</v>
      </c>
      <c r="J83" s="36">
        <f>COMBIN($C$82,J82)/COMBIN($C$1,J82)</f>
        <v>3.4671659385618195E-4</v>
      </c>
      <c r="K83" s="36">
        <f>COMBIN($C$82,K82)/COMBIN($C$1,K82)</f>
        <v>6.1185281268737987E-5</v>
      </c>
      <c r="L83" s="36">
        <f>COMBIN($C$82,L82)/COMBIN($C$1,L82)</f>
        <v>7.6481601585922484E-6</v>
      </c>
      <c r="M83" s="36">
        <f>COMBIN($C$82,M82)/COMBIN($C$1,M82)</f>
        <v>5.0987734390614998E-7</v>
      </c>
      <c r="N83" s="36"/>
      <c r="O83" s="16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1:28" s="10" customFormat="1" x14ac:dyDescent="0.2">
      <c r="C84" s="17" t="s">
        <v>7</v>
      </c>
      <c r="D84" s="37">
        <f>1/D83</f>
        <v>2.4</v>
      </c>
      <c r="E84" s="10">
        <f t="shared" ref="E84:M84" si="42">1/E83</f>
        <v>6.1333333333333329</v>
      </c>
      <c r="F84" s="10">
        <f t="shared" si="42"/>
        <v>16.866666666666671</v>
      </c>
      <c r="G84" s="10">
        <f t="shared" si="42"/>
        <v>50.600000000000009</v>
      </c>
      <c r="H84" s="10">
        <f t="shared" si="42"/>
        <v>168.66666666666663</v>
      </c>
      <c r="I84" s="10">
        <f t="shared" si="42"/>
        <v>640.93333333333362</v>
      </c>
      <c r="J84" s="10">
        <f t="shared" si="42"/>
        <v>2884.2</v>
      </c>
      <c r="K84" s="10">
        <f t="shared" si="42"/>
        <v>16343.800000000001</v>
      </c>
      <c r="L84" s="10">
        <f t="shared" si="42"/>
        <v>130750.40000000001</v>
      </c>
      <c r="M84" s="10">
        <f t="shared" si="42"/>
        <v>1961255.9999999998</v>
      </c>
      <c r="O84" s="12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1:28" s="10" customFormat="1" ht="16" thickBot="1" x14ac:dyDescent="0.25">
      <c r="C85" s="20" t="s">
        <v>8</v>
      </c>
      <c r="D85" s="11">
        <f>$F$1*D84</f>
        <v>2.3279999999999998</v>
      </c>
      <c r="E85" s="38">
        <f t="shared" ref="E85:M85" si="43">$F$1*E84</f>
        <v>5.9493333333333327</v>
      </c>
      <c r="F85" s="38">
        <f t="shared" si="43"/>
        <v>16.36066666666667</v>
      </c>
      <c r="G85" s="38">
        <f t="shared" si="43"/>
        <v>49.082000000000008</v>
      </c>
      <c r="H85" s="38">
        <f t="shared" si="43"/>
        <v>163.60666666666663</v>
      </c>
      <c r="I85" s="38">
        <f t="shared" si="43"/>
        <v>621.70533333333356</v>
      </c>
      <c r="J85" s="38">
        <f t="shared" si="43"/>
        <v>2797.6739999999995</v>
      </c>
      <c r="K85" s="38">
        <f t="shared" si="43"/>
        <v>15853.486000000001</v>
      </c>
      <c r="L85" s="38">
        <f t="shared" si="43"/>
        <v>126827.88800000001</v>
      </c>
      <c r="M85" s="38">
        <f t="shared" si="43"/>
        <v>1902418.3199999998</v>
      </c>
      <c r="N85" s="38"/>
      <c r="O85" s="23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1:28" ht="16" thickBot="1" x14ac:dyDescent="0.25"/>
    <row r="87" spans="1:28" s="10" customFormat="1" ht="16" thickBot="1" x14ac:dyDescent="0.25">
      <c r="A87" s="5" t="s">
        <v>22</v>
      </c>
      <c r="B87" s="6" t="s">
        <v>3</v>
      </c>
      <c r="C87" s="7" t="s">
        <v>4</v>
      </c>
      <c r="D87" s="51" t="s">
        <v>5</v>
      </c>
      <c r="E87" s="52"/>
      <c r="F87" s="52"/>
      <c r="G87" s="52"/>
      <c r="H87" s="52"/>
      <c r="I87" s="52"/>
      <c r="J87" s="52"/>
      <c r="K87" s="52"/>
      <c r="L87" s="52"/>
      <c r="M87" s="52"/>
      <c r="N87" s="53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1:28" s="10" customFormat="1" ht="16" thickBot="1" x14ac:dyDescent="0.25">
      <c r="A88" s="11"/>
      <c r="B88" s="7">
        <v>15</v>
      </c>
      <c r="C88" s="12">
        <f>$C$1-B88</f>
        <v>9</v>
      </c>
      <c r="D88" s="6">
        <v>1</v>
      </c>
      <c r="E88" s="8">
        <f>D88+1</f>
        <v>2</v>
      </c>
      <c r="F88" s="8">
        <f t="shared" ref="F88:N88" si="44">E88+1</f>
        <v>3</v>
      </c>
      <c r="G88" s="8">
        <f t="shared" si="44"/>
        <v>4</v>
      </c>
      <c r="H88" s="8">
        <f t="shared" si="44"/>
        <v>5</v>
      </c>
      <c r="I88" s="8">
        <f t="shared" si="44"/>
        <v>6</v>
      </c>
      <c r="J88" s="8">
        <f t="shared" si="44"/>
        <v>7</v>
      </c>
      <c r="K88" s="8">
        <f t="shared" si="44"/>
        <v>8</v>
      </c>
      <c r="L88" s="8">
        <f t="shared" si="44"/>
        <v>9</v>
      </c>
      <c r="M88" s="8">
        <f t="shared" si="44"/>
        <v>10</v>
      </c>
      <c r="N88" s="9">
        <f t="shared" si="44"/>
        <v>11</v>
      </c>
      <c r="O88"/>
      <c r="P88"/>
      <c r="Q88"/>
      <c r="R88"/>
      <c r="S88"/>
      <c r="T88"/>
      <c r="U88"/>
      <c r="V88"/>
      <c r="W88"/>
      <c r="X88"/>
      <c r="Y88"/>
      <c r="Z88"/>
      <c r="AA88"/>
      <c r="AB88"/>
    </row>
    <row r="89" spans="1:28" s="10" customFormat="1" x14ac:dyDescent="0.2">
      <c r="C89" s="13" t="s">
        <v>6</v>
      </c>
      <c r="D89" s="5">
        <f>COMBIN($C$88,D88)/COMBIN($C$1,D88)</f>
        <v>0.375</v>
      </c>
      <c r="E89" s="36">
        <f>COMBIN($C$88,E88)/COMBIN($C$1,E88)</f>
        <v>0.13043478260869565</v>
      </c>
      <c r="F89" s="36">
        <f>COMBIN($C$88,F88)/COMBIN($C$1,F88)</f>
        <v>4.150197628458497E-2</v>
      </c>
      <c r="G89" s="36">
        <f>COMBIN($C$88,G88)/COMBIN($C$1,G88)</f>
        <v>1.1857707509881422E-2</v>
      </c>
      <c r="H89" s="36">
        <f>COMBIN($C$88,H88)/COMBIN($C$1,H88)</f>
        <v>2.9644268774703564E-3</v>
      </c>
      <c r="I89" s="36">
        <f>COMBIN($C$88,I88)/COMBIN($C$1,I88)</f>
        <v>6.2408986894112726E-4</v>
      </c>
      <c r="J89" s="36">
        <f>COMBIN($C$88,J88)/COMBIN($C$1,J88)</f>
        <v>1.0401497815685458E-4</v>
      </c>
      <c r="K89" s="36">
        <f>COMBIN($C$88,K88)/COMBIN($C$1,K88)</f>
        <v>1.2237056253747598E-5</v>
      </c>
      <c r="L89" s="36">
        <f>COMBIN($C$88,L88)/COMBIN($C$1,L88)</f>
        <v>7.6481601585922486E-7</v>
      </c>
      <c r="M89" s="36"/>
      <c r="N89" s="16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1:28" s="10" customFormat="1" x14ac:dyDescent="0.2">
      <c r="C90" s="17" t="s">
        <v>7</v>
      </c>
      <c r="D90" s="37">
        <f>1/D89</f>
        <v>2.6666666666666665</v>
      </c>
      <c r="E90" s="10">
        <f t="shared" ref="E90:L90" si="45">1/E89</f>
        <v>7.666666666666667</v>
      </c>
      <c r="F90" s="10">
        <f t="shared" si="45"/>
        <v>24.095238095238102</v>
      </c>
      <c r="G90" s="10">
        <f t="shared" si="45"/>
        <v>84.333333333333343</v>
      </c>
      <c r="H90" s="10">
        <f t="shared" si="45"/>
        <v>337.33333333333326</v>
      </c>
      <c r="I90" s="10">
        <f t="shared" si="45"/>
        <v>1602.3333333333339</v>
      </c>
      <c r="J90" s="10">
        <f t="shared" si="45"/>
        <v>9614</v>
      </c>
      <c r="K90" s="10">
        <f t="shared" si="45"/>
        <v>81719</v>
      </c>
      <c r="L90" s="10">
        <f t="shared" si="45"/>
        <v>1307504</v>
      </c>
      <c r="N90" s="12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1:28" s="10" customFormat="1" ht="16" thickBot="1" x14ac:dyDescent="0.25">
      <c r="C91" s="20" t="s">
        <v>8</v>
      </c>
      <c r="D91" s="11">
        <f>$F$1*D90</f>
        <v>2.5866666666666664</v>
      </c>
      <c r="E91" s="38">
        <f t="shared" ref="E91:L91" si="46">$F$1*E90</f>
        <v>7.4366666666666665</v>
      </c>
      <c r="F91" s="38">
        <f t="shared" si="46"/>
        <v>23.372380952380958</v>
      </c>
      <c r="G91" s="38">
        <f t="shared" si="46"/>
        <v>81.803333333333342</v>
      </c>
      <c r="H91" s="38">
        <f t="shared" si="46"/>
        <v>327.21333333333325</v>
      </c>
      <c r="I91" s="38">
        <f t="shared" si="46"/>
        <v>1554.2633333333338</v>
      </c>
      <c r="J91" s="38">
        <f t="shared" si="46"/>
        <v>9325.58</v>
      </c>
      <c r="K91" s="38">
        <f t="shared" si="46"/>
        <v>79267.429999999993</v>
      </c>
      <c r="L91" s="38">
        <f t="shared" si="46"/>
        <v>1268278.8799999999</v>
      </c>
      <c r="M91" s="38"/>
      <c r="N91" s="23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1:28" ht="16" thickBot="1" x14ac:dyDescent="0.25"/>
    <row r="93" spans="1:28" s="10" customFormat="1" ht="16" thickBot="1" x14ac:dyDescent="0.25">
      <c r="A93" s="5" t="s">
        <v>23</v>
      </c>
      <c r="B93" s="6" t="s">
        <v>3</v>
      </c>
      <c r="C93" s="7" t="s">
        <v>4</v>
      </c>
      <c r="D93" s="51" t="s">
        <v>5</v>
      </c>
      <c r="E93" s="52"/>
      <c r="F93" s="52"/>
      <c r="G93" s="52"/>
      <c r="H93" s="52"/>
      <c r="I93" s="52"/>
      <c r="J93" s="52"/>
      <c r="K93" s="52"/>
      <c r="L93" s="52"/>
      <c r="M93" s="5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1:28" s="10" customFormat="1" ht="16" thickBot="1" x14ac:dyDescent="0.25">
      <c r="A94" s="11"/>
      <c r="B94" s="7">
        <v>16</v>
      </c>
      <c r="C94" s="12">
        <f>$C$1-B94</f>
        <v>8</v>
      </c>
      <c r="D94" s="6">
        <v>1</v>
      </c>
      <c r="E94" s="8">
        <f>D94+1</f>
        <v>2</v>
      </c>
      <c r="F94" s="8">
        <f t="shared" ref="F94:M94" si="47">E94+1</f>
        <v>3</v>
      </c>
      <c r="G94" s="8">
        <f t="shared" si="47"/>
        <v>4</v>
      </c>
      <c r="H94" s="8">
        <f t="shared" si="47"/>
        <v>5</v>
      </c>
      <c r="I94" s="8">
        <f t="shared" si="47"/>
        <v>6</v>
      </c>
      <c r="J94" s="8">
        <f t="shared" si="47"/>
        <v>7</v>
      </c>
      <c r="K94" s="8">
        <f t="shared" si="47"/>
        <v>8</v>
      </c>
      <c r="L94" s="8">
        <f t="shared" si="47"/>
        <v>9</v>
      </c>
      <c r="M94" s="9">
        <f t="shared" si="47"/>
        <v>10</v>
      </c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1:28" s="10" customFormat="1" x14ac:dyDescent="0.2">
      <c r="C95" s="13" t="s">
        <v>6</v>
      </c>
      <c r="D95" s="5">
        <f>COMBIN($C$94,D94)/COMBIN($C$1,D94)</f>
        <v>0.33333333333333331</v>
      </c>
      <c r="E95" s="36">
        <f>COMBIN($C$94,E94)/COMBIN($C$1,E94)</f>
        <v>0.10144927536231885</v>
      </c>
      <c r="F95" s="36">
        <f>COMBIN($C$94,F94)/COMBIN($C$1,F94)</f>
        <v>2.7667984189723317E-2</v>
      </c>
      <c r="G95" s="36">
        <f>COMBIN($C$94,G94)/COMBIN($C$1,G94)</f>
        <v>6.587615283267457E-3</v>
      </c>
      <c r="H95" s="36">
        <f>COMBIN($C$94,H94)/COMBIN($C$1,H94)</f>
        <v>1.3175230566534917E-3</v>
      </c>
      <c r="I95" s="36">
        <f>COMBIN($C$94,I94)/COMBIN($C$1,I94)</f>
        <v>2.0802995631370914E-4</v>
      </c>
      <c r="J95" s="36">
        <f>COMBIN($C$94,J94)/COMBIN($C$1,J94)</f>
        <v>2.3114439590412129E-5</v>
      </c>
      <c r="K95" s="36">
        <f>COMBIN($C$94,K94)/COMBIN($C$1,K94)</f>
        <v>1.3596729170830664E-6</v>
      </c>
      <c r="L95" s="36"/>
      <c r="M95" s="16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1:28" s="10" customFormat="1" x14ac:dyDescent="0.2">
      <c r="C96" s="17" t="s">
        <v>7</v>
      </c>
      <c r="D96" s="35">
        <f>1/D95</f>
        <v>3</v>
      </c>
      <c r="E96" s="48">
        <f t="shared" ref="E96:K96" si="48">1/E95</f>
        <v>9.8571428571428559</v>
      </c>
      <c r="F96" s="48">
        <f t="shared" si="48"/>
        <v>36.142857142857146</v>
      </c>
      <c r="G96" s="48">
        <f t="shared" si="48"/>
        <v>151.80000000000001</v>
      </c>
      <c r="H96" s="48">
        <f t="shared" si="48"/>
        <v>758.99999999999989</v>
      </c>
      <c r="I96" s="48">
        <f t="shared" si="48"/>
        <v>4807.0000000000009</v>
      </c>
      <c r="J96" s="48">
        <f t="shared" si="48"/>
        <v>43263</v>
      </c>
      <c r="K96" s="48">
        <f t="shared" si="48"/>
        <v>735471</v>
      </c>
      <c r="L96" s="48"/>
      <c r="M96" s="12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1:28" s="10" customFormat="1" ht="16" thickBot="1" x14ac:dyDescent="0.25">
      <c r="C97" s="20" t="s">
        <v>8</v>
      </c>
      <c r="D97" s="11">
        <f>$F$1*D96</f>
        <v>2.91</v>
      </c>
      <c r="E97" s="38">
        <f t="shared" ref="E97:K97" si="49">$F$1*E96</f>
        <v>9.5614285714285696</v>
      </c>
      <c r="F97" s="38">
        <f t="shared" si="49"/>
        <v>35.058571428571433</v>
      </c>
      <c r="G97" s="38">
        <f t="shared" si="49"/>
        <v>147.24600000000001</v>
      </c>
      <c r="H97" s="38">
        <f t="shared" si="49"/>
        <v>736.2299999999999</v>
      </c>
      <c r="I97" s="38">
        <f t="shared" si="49"/>
        <v>4662.7900000000009</v>
      </c>
      <c r="J97" s="38">
        <f t="shared" si="49"/>
        <v>41965.11</v>
      </c>
      <c r="K97" s="38">
        <f t="shared" si="49"/>
        <v>713406.87</v>
      </c>
      <c r="L97" s="38"/>
      <c r="M97" s="23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1:28" ht="16" thickBot="1" x14ac:dyDescent="0.25"/>
    <row r="99" spans="1:28" s="10" customFormat="1" ht="16" thickBot="1" x14ac:dyDescent="0.25">
      <c r="A99" s="5" t="s">
        <v>24</v>
      </c>
      <c r="B99" s="6" t="s">
        <v>3</v>
      </c>
      <c r="C99" s="7" t="s">
        <v>4</v>
      </c>
      <c r="D99" s="51" t="s">
        <v>5</v>
      </c>
      <c r="E99" s="52"/>
      <c r="F99" s="52"/>
      <c r="G99" s="52"/>
      <c r="H99" s="52"/>
      <c r="I99" s="52"/>
      <c r="J99" s="52"/>
      <c r="K99" s="52"/>
      <c r="L99" s="53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1:28" s="10" customFormat="1" ht="16" thickBot="1" x14ac:dyDescent="0.25">
      <c r="A100" s="11"/>
      <c r="B100" s="7">
        <v>17</v>
      </c>
      <c r="C100" s="12">
        <f>$C$1-B100</f>
        <v>7</v>
      </c>
      <c r="D100" s="6">
        <v>1</v>
      </c>
      <c r="E100" s="8">
        <f>D100+1</f>
        <v>2</v>
      </c>
      <c r="F100" s="8">
        <f t="shared" ref="F100:L100" si="50">E100+1</f>
        <v>3</v>
      </c>
      <c r="G100" s="8">
        <f t="shared" si="50"/>
        <v>4</v>
      </c>
      <c r="H100" s="8">
        <f t="shared" si="50"/>
        <v>5</v>
      </c>
      <c r="I100" s="8">
        <f t="shared" si="50"/>
        <v>6</v>
      </c>
      <c r="J100" s="8">
        <f t="shared" si="50"/>
        <v>7</v>
      </c>
      <c r="K100" s="8">
        <f t="shared" si="50"/>
        <v>8</v>
      </c>
      <c r="L100" s="9">
        <f t="shared" si="50"/>
        <v>9</v>
      </c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1:28" s="10" customFormat="1" x14ac:dyDescent="0.2">
      <c r="C101" s="13" t="s">
        <v>6</v>
      </c>
      <c r="D101" s="5">
        <f>COMBIN($C$100,D100)/COMBIN($C$1,D100)</f>
        <v>0.29166666666666669</v>
      </c>
      <c r="E101" s="36">
        <f>COMBIN($C$100,E100)/COMBIN($C$1,E100)</f>
        <v>7.6086956521739135E-2</v>
      </c>
      <c r="F101" s="36">
        <f>COMBIN($C$100,F100)/COMBIN($C$1,F100)</f>
        <v>1.7292490118577072E-2</v>
      </c>
      <c r="G101" s="36">
        <f>COMBIN($C$100,G100)/COMBIN($C$1,G100)</f>
        <v>3.2938076416337285E-3</v>
      </c>
      <c r="H101" s="36">
        <f>COMBIN($C$100,H100)/COMBIN($C$1,H100)</f>
        <v>4.9407114624505936E-4</v>
      </c>
      <c r="I101" s="36">
        <f>COMBIN($C$100,I100)/COMBIN($C$1,I100)</f>
        <v>5.2007489078427285E-5</v>
      </c>
      <c r="J101" s="36">
        <f>COMBIN($C$100,J100)/COMBIN($C$1,J100)</f>
        <v>2.8893049488015161E-6</v>
      </c>
      <c r="K101" s="36"/>
      <c r="L101" s="16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1:28" s="10" customFormat="1" x14ac:dyDescent="0.2">
      <c r="C102" s="17" t="s">
        <v>7</v>
      </c>
      <c r="D102" s="37">
        <f>1/D101</f>
        <v>3.4285714285714284</v>
      </c>
      <c r="E102" s="10">
        <f t="shared" ref="E102:J102" si="51">1/E101</f>
        <v>13.142857142857142</v>
      </c>
      <c r="F102" s="10">
        <f t="shared" si="51"/>
        <v>57.828571428571436</v>
      </c>
      <c r="G102" s="10">
        <f t="shared" si="51"/>
        <v>303.60000000000002</v>
      </c>
      <c r="H102" s="10">
        <f t="shared" si="51"/>
        <v>2023.9999999999998</v>
      </c>
      <c r="I102" s="10">
        <f t="shared" si="51"/>
        <v>19228.000000000004</v>
      </c>
      <c r="J102" s="10">
        <f t="shared" si="51"/>
        <v>346104</v>
      </c>
      <c r="L102" s="1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1:28" s="10" customFormat="1" ht="16" thickBot="1" x14ac:dyDescent="0.25">
      <c r="C103" s="20" t="s">
        <v>8</v>
      </c>
      <c r="D103" s="11">
        <f>$F$1*D102</f>
        <v>3.3257142857142856</v>
      </c>
      <c r="E103" s="38">
        <f t="shared" ref="E103:J103" si="52">$F$1*E102</f>
        <v>12.748571428571427</v>
      </c>
      <c r="F103" s="38">
        <f t="shared" si="52"/>
        <v>56.093714285714292</v>
      </c>
      <c r="G103" s="38">
        <f t="shared" si="52"/>
        <v>294.49200000000002</v>
      </c>
      <c r="H103" s="38">
        <f t="shared" si="52"/>
        <v>1963.2799999999997</v>
      </c>
      <c r="I103" s="38">
        <f t="shared" si="52"/>
        <v>18651.160000000003</v>
      </c>
      <c r="J103" s="38">
        <f t="shared" si="52"/>
        <v>335720.88</v>
      </c>
      <c r="K103" s="38"/>
      <c r="L103" s="2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1:28" ht="16" thickBot="1" x14ac:dyDescent="0.25"/>
    <row r="105" spans="1:28" s="10" customFormat="1" ht="16" thickBot="1" x14ac:dyDescent="0.25">
      <c r="A105" s="5" t="s">
        <v>25</v>
      </c>
      <c r="B105" s="6" t="s">
        <v>3</v>
      </c>
      <c r="C105" s="7" t="s">
        <v>4</v>
      </c>
      <c r="D105" s="51" t="s">
        <v>5</v>
      </c>
      <c r="E105" s="52"/>
      <c r="F105" s="52"/>
      <c r="G105" s="52"/>
      <c r="H105" s="52"/>
      <c r="I105" s="52"/>
      <c r="J105" s="52"/>
      <c r="K105" s="53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1:28" s="10" customFormat="1" ht="16" thickBot="1" x14ac:dyDescent="0.25">
      <c r="A106" s="11"/>
      <c r="B106" s="7">
        <v>18</v>
      </c>
      <c r="C106" s="12">
        <f>$C$1-B106</f>
        <v>6</v>
      </c>
      <c r="D106" s="6">
        <v>1</v>
      </c>
      <c r="E106" s="8">
        <f>D106+1</f>
        <v>2</v>
      </c>
      <c r="F106" s="8">
        <f t="shared" ref="F106:K106" si="53">E106+1</f>
        <v>3</v>
      </c>
      <c r="G106" s="8">
        <f t="shared" si="53"/>
        <v>4</v>
      </c>
      <c r="H106" s="8">
        <f t="shared" si="53"/>
        <v>5</v>
      </c>
      <c r="I106" s="8">
        <f t="shared" si="53"/>
        <v>6</v>
      </c>
      <c r="J106" s="8">
        <f t="shared" si="53"/>
        <v>7</v>
      </c>
      <c r="K106" s="9">
        <f t="shared" si="53"/>
        <v>8</v>
      </c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1:28" s="10" customFormat="1" x14ac:dyDescent="0.2">
      <c r="C107" s="13" t="s">
        <v>6</v>
      </c>
      <c r="D107" s="5">
        <f>COMBIN($C$106,D106)/COMBIN($C$1,D106)</f>
        <v>0.25</v>
      </c>
      <c r="E107" s="36">
        <f>COMBIN($C$106,E106)/COMBIN($C$1,E106)</f>
        <v>5.434782608695652E-2</v>
      </c>
      <c r="F107" s="34">
        <f>COMBIN($C$106,F106)/COMBIN($C$1,F106)</f>
        <v>9.8814229249011842E-3</v>
      </c>
      <c r="G107" s="34">
        <f>COMBIN($C$106,G106)/COMBIN($C$1,G106)</f>
        <v>1.411631846414455E-3</v>
      </c>
      <c r="H107" s="34">
        <f>COMBIN($C$106,H106)/COMBIN($C$1,H106)</f>
        <v>1.4116318464144553E-4</v>
      </c>
      <c r="I107" s="36">
        <f>COMBIN($C$106,I106)/COMBIN($C$1,I106)</f>
        <v>7.4296412969181836E-6</v>
      </c>
      <c r="J107" s="36"/>
      <c r="K107" s="16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1:28" s="10" customFormat="1" x14ac:dyDescent="0.2">
      <c r="C108" s="17" t="s">
        <v>7</v>
      </c>
      <c r="D108" s="40">
        <f>1/D107</f>
        <v>4</v>
      </c>
      <c r="E108" s="41">
        <f t="shared" ref="E108:I108" si="54">1/E107</f>
        <v>18.400000000000002</v>
      </c>
      <c r="F108" s="41">
        <f t="shared" si="54"/>
        <v>101.20000000000002</v>
      </c>
      <c r="G108" s="41">
        <f t="shared" si="54"/>
        <v>708.40000000000009</v>
      </c>
      <c r="H108" s="41">
        <f t="shared" si="54"/>
        <v>7083.9999999999991</v>
      </c>
      <c r="I108" s="49">
        <f t="shared" si="54"/>
        <v>134596.00000000003</v>
      </c>
      <c r="J108" s="49"/>
      <c r="K108" s="12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1:28" s="10" customFormat="1" ht="16" thickBot="1" x14ac:dyDescent="0.25">
      <c r="C109" s="20" t="s">
        <v>8</v>
      </c>
      <c r="D109" s="30">
        <f>$F$1*D108</f>
        <v>3.88</v>
      </c>
      <c r="E109" s="31">
        <f t="shared" ref="E109:I109" si="55">$F$1*E108</f>
        <v>17.848000000000003</v>
      </c>
      <c r="F109" s="31">
        <f t="shared" si="55"/>
        <v>98.164000000000016</v>
      </c>
      <c r="G109" s="31">
        <f t="shared" si="55"/>
        <v>687.14800000000002</v>
      </c>
      <c r="H109" s="31">
        <f t="shared" si="55"/>
        <v>6871.4799999999987</v>
      </c>
      <c r="I109" s="50">
        <f t="shared" si="55"/>
        <v>130558.12000000002</v>
      </c>
      <c r="J109" s="50"/>
      <c r="K109" s="23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1:28" ht="16" thickBot="1" x14ac:dyDescent="0.25"/>
    <row r="111" spans="1:28" s="10" customFormat="1" ht="16" thickBot="1" x14ac:dyDescent="0.25">
      <c r="A111" s="5" t="s">
        <v>26</v>
      </c>
      <c r="B111" s="6" t="s">
        <v>3</v>
      </c>
      <c r="C111" s="7" t="s">
        <v>4</v>
      </c>
      <c r="D111" s="51" t="s">
        <v>5</v>
      </c>
      <c r="E111" s="52"/>
      <c r="F111" s="52"/>
      <c r="G111" s="52"/>
      <c r="H111" s="52"/>
      <c r="I111" s="52"/>
      <c r="J111" s="53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1:28" s="10" customFormat="1" ht="16" thickBot="1" x14ac:dyDescent="0.25">
      <c r="A112" s="11"/>
      <c r="B112" s="7">
        <v>19</v>
      </c>
      <c r="C112" s="12">
        <f>$C$1-B112</f>
        <v>5</v>
      </c>
      <c r="D112" s="6">
        <v>1</v>
      </c>
      <c r="E112" s="8">
        <f>D112+1</f>
        <v>2</v>
      </c>
      <c r="F112" s="8">
        <f t="shared" ref="F112:J112" si="56">E112+1</f>
        <v>3</v>
      </c>
      <c r="G112" s="8">
        <f t="shared" si="56"/>
        <v>4</v>
      </c>
      <c r="H112" s="8">
        <f t="shared" si="56"/>
        <v>5</v>
      </c>
      <c r="I112" s="8">
        <f t="shared" si="56"/>
        <v>6</v>
      </c>
      <c r="J112" s="9">
        <f t="shared" si="56"/>
        <v>7</v>
      </c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pans="1:28" s="10" customFormat="1" x14ac:dyDescent="0.2">
      <c r="C113" s="13" t="s">
        <v>6</v>
      </c>
      <c r="D113" s="5">
        <f>COMBIN($C$112,D112)/COMBIN($C$1,D112)</f>
        <v>0.20833333333333334</v>
      </c>
      <c r="E113" s="36">
        <f>COMBIN($C$112,E112)/COMBIN($C$1,E112)</f>
        <v>3.6231884057971016E-2</v>
      </c>
      <c r="F113" s="34">
        <f>COMBIN($C$112,F112)/COMBIN($C$1,F112)</f>
        <v>4.9407114624505921E-3</v>
      </c>
      <c r="G113" s="34">
        <f>COMBIN($C$112,G112)/COMBIN($C$1,G112)</f>
        <v>4.7054394880481837E-4</v>
      </c>
      <c r="H113" s="34">
        <f>COMBIN($C$112,H112)/COMBIN($C$1,H112)</f>
        <v>2.3527197440240921E-5</v>
      </c>
      <c r="I113" s="36"/>
      <c r="J113" s="16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pans="1:28" s="10" customFormat="1" x14ac:dyDescent="0.2">
      <c r="C114" s="17" t="s">
        <v>7</v>
      </c>
      <c r="D114" s="18">
        <f>1/D113</f>
        <v>4.8</v>
      </c>
      <c r="E114" s="49">
        <f t="shared" ref="E114:H114" si="57">1/E113</f>
        <v>27.599999999999998</v>
      </c>
      <c r="F114" s="10">
        <f t="shared" si="57"/>
        <v>202.40000000000003</v>
      </c>
      <c r="G114" s="10">
        <f t="shared" si="57"/>
        <v>2125.1999999999998</v>
      </c>
      <c r="H114" s="10">
        <f t="shared" si="57"/>
        <v>42503.999999999993</v>
      </c>
      <c r="J114" s="12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pans="1:28" s="10" customFormat="1" ht="16" thickBot="1" x14ac:dyDescent="0.25">
      <c r="C115" s="20" t="s">
        <v>8</v>
      </c>
      <c r="D115" s="11">
        <f>$F$1*D114</f>
        <v>4.6559999999999997</v>
      </c>
      <c r="E115" s="38">
        <f t="shared" ref="E115:H115" si="58">$F$1*E114</f>
        <v>26.771999999999998</v>
      </c>
      <c r="F115" s="38">
        <f t="shared" si="58"/>
        <v>196.32800000000003</v>
      </c>
      <c r="G115" s="38">
        <f t="shared" si="58"/>
        <v>2061.444</v>
      </c>
      <c r="H115" s="38">
        <f t="shared" si="58"/>
        <v>41228.87999999999</v>
      </c>
      <c r="I115" s="38"/>
      <c r="J115" s="23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1:28" ht="16" thickBot="1" x14ac:dyDescent="0.25"/>
    <row r="117" spans="1:28" s="10" customFormat="1" ht="16" thickBot="1" x14ac:dyDescent="0.25">
      <c r="A117" s="5" t="s">
        <v>27</v>
      </c>
      <c r="B117" s="6" t="s">
        <v>3</v>
      </c>
      <c r="C117" s="7" t="s">
        <v>4</v>
      </c>
      <c r="D117" s="51" t="s">
        <v>5</v>
      </c>
      <c r="E117" s="52"/>
      <c r="F117" s="52"/>
      <c r="G117" s="52"/>
      <c r="H117" s="52"/>
      <c r="I117" s="53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1:28" s="10" customFormat="1" ht="16" thickBot="1" x14ac:dyDescent="0.25">
      <c r="A118" s="11"/>
      <c r="B118" s="7">
        <v>20</v>
      </c>
      <c r="C118" s="12">
        <f>$C$1-B118</f>
        <v>4</v>
      </c>
      <c r="D118" s="6">
        <v>1</v>
      </c>
      <c r="E118" s="8">
        <f>D118+1</f>
        <v>2</v>
      </c>
      <c r="F118" s="8">
        <f t="shared" ref="F118:I118" si="59">E118+1</f>
        <v>3</v>
      </c>
      <c r="G118" s="8">
        <f t="shared" si="59"/>
        <v>4</v>
      </c>
      <c r="H118" s="8">
        <f t="shared" si="59"/>
        <v>5</v>
      </c>
      <c r="I118" s="9">
        <f t="shared" si="59"/>
        <v>6</v>
      </c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pans="1:28" s="10" customFormat="1" x14ac:dyDescent="0.2">
      <c r="C119" s="13" t="s">
        <v>6</v>
      </c>
      <c r="D119" s="33">
        <f>COMBIN($C$118,D118)/COMBIN($C$1,D118)</f>
        <v>0.16666666666666666</v>
      </c>
      <c r="E119" s="36">
        <f>COMBIN($C$118,E118)/COMBIN($C$1,E118)</f>
        <v>2.1739130434782608E-2</v>
      </c>
      <c r="F119" s="36">
        <f>COMBIN($C$118,F118)/COMBIN($C$1,F118)</f>
        <v>1.976284584980237E-3</v>
      </c>
      <c r="G119" s="36">
        <f>COMBIN($C$118,G118)/COMBIN($C$1,G118)</f>
        <v>9.4108789760963672E-5</v>
      </c>
      <c r="H119" s="36"/>
      <c r="I119" s="16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 spans="1:28" s="10" customFormat="1" x14ac:dyDescent="0.2">
      <c r="C120" s="17" t="s">
        <v>7</v>
      </c>
      <c r="D120" s="37">
        <f>1/D119</f>
        <v>6</v>
      </c>
      <c r="E120" s="10">
        <f t="shared" ref="E120:G120" si="60">1/E119</f>
        <v>46</v>
      </c>
      <c r="F120" s="10">
        <f t="shared" si="60"/>
        <v>506.00000000000006</v>
      </c>
      <c r="G120" s="10">
        <f t="shared" si="60"/>
        <v>10626</v>
      </c>
      <c r="I120" s="12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1:28" s="10" customFormat="1" ht="16" thickBot="1" x14ac:dyDescent="0.25">
      <c r="C121" s="20" t="s">
        <v>8</v>
      </c>
      <c r="D121" s="11">
        <f>$F$1*D120</f>
        <v>5.82</v>
      </c>
      <c r="E121" s="38">
        <f t="shared" ref="E121:G121" si="61">$F$1*E120</f>
        <v>44.62</v>
      </c>
      <c r="F121" s="38">
        <f t="shared" si="61"/>
        <v>490.82000000000005</v>
      </c>
      <c r="G121" s="38">
        <f t="shared" si="61"/>
        <v>10307.219999999999</v>
      </c>
      <c r="H121" s="38"/>
      <c r="I121" s="23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</row>
    <row r="122" spans="1:28" ht="16" thickBot="1" x14ac:dyDescent="0.25"/>
    <row r="123" spans="1:28" s="10" customFormat="1" ht="16" thickBot="1" x14ac:dyDescent="0.25">
      <c r="A123" s="5" t="s">
        <v>28</v>
      </c>
      <c r="B123" s="6" t="s">
        <v>3</v>
      </c>
      <c r="C123" s="7" t="s">
        <v>4</v>
      </c>
      <c r="D123" s="51" t="s">
        <v>5</v>
      </c>
      <c r="E123" s="52"/>
      <c r="F123" s="52"/>
      <c r="G123" s="52"/>
      <c r="H123" s="5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</row>
    <row r="124" spans="1:28" s="10" customFormat="1" ht="16" thickBot="1" x14ac:dyDescent="0.25">
      <c r="A124" s="11"/>
      <c r="B124" s="7">
        <v>21</v>
      </c>
      <c r="C124" s="12">
        <f>$C$1-B124</f>
        <v>3</v>
      </c>
      <c r="D124" s="6">
        <v>1</v>
      </c>
      <c r="E124" s="8">
        <f>D124+1</f>
        <v>2</v>
      </c>
      <c r="F124" s="8">
        <f t="shared" ref="F124:H124" si="62">E124+1</f>
        <v>3</v>
      </c>
      <c r="G124" s="8">
        <f t="shared" si="62"/>
        <v>4</v>
      </c>
      <c r="H124" s="9">
        <f t="shared" si="62"/>
        <v>5</v>
      </c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</row>
    <row r="125" spans="1:28" s="10" customFormat="1" x14ac:dyDescent="0.2">
      <c r="C125" s="13" t="s">
        <v>6</v>
      </c>
      <c r="D125" s="5">
        <f>COMBIN($C$124,D124)/COMBIN($C$1,D124)</f>
        <v>0.125</v>
      </c>
      <c r="E125" s="36">
        <f>COMBIN($C$124,E124)/COMBIN($C$1,E124)</f>
        <v>1.0869565217391304E-2</v>
      </c>
      <c r="F125" s="36">
        <f>COMBIN($C$124,F124)/COMBIN($C$1,F124)</f>
        <v>4.9407114624505926E-4</v>
      </c>
      <c r="G125" s="36"/>
      <c r="H125" s="16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1:28" s="10" customFormat="1" x14ac:dyDescent="0.2">
      <c r="C126" s="17" t="s">
        <v>7</v>
      </c>
      <c r="D126" s="37">
        <f>1/D125</f>
        <v>8</v>
      </c>
      <c r="E126" s="10">
        <f t="shared" ref="E126:F126" si="63">1/E125</f>
        <v>92</v>
      </c>
      <c r="F126" s="10">
        <f t="shared" si="63"/>
        <v>2024.0000000000002</v>
      </c>
      <c r="H126" s="12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1:28" s="10" customFormat="1" ht="16" thickBot="1" x14ac:dyDescent="0.25">
      <c r="C127" s="20" t="s">
        <v>8</v>
      </c>
      <c r="D127" s="11">
        <f>$F$1*D126</f>
        <v>7.76</v>
      </c>
      <c r="E127" s="38">
        <f t="shared" ref="E127:F127" si="64">$F$1*E126</f>
        <v>89.24</v>
      </c>
      <c r="F127" s="38">
        <f t="shared" si="64"/>
        <v>1963.2800000000002</v>
      </c>
      <c r="G127" s="38"/>
      <c r="H127" s="23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spans="1:28" ht="16" thickBot="1" x14ac:dyDescent="0.25"/>
    <row r="129" spans="1:28" s="10" customFormat="1" ht="16" thickBot="1" x14ac:dyDescent="0.25">
      <c r="A129" s="5" t="s">
        <v>29</v>
      </c>
      <c r="B129" s="6" t="s">
        <v>3</v>
      </c>
      <c r="C129" s="7" t="s">
        <v>4</v>
      </c>
      <c r="D129" s="51" t="s">
        <v>5</v>
      </c>
      <c r="E129" s="52"/>
      <c r="F129" s="52"/>
      <c r="G129" s="53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</row>
    <row r="130" spans="1:28" s="10" customFormat="1" ht="16" thickBot="1" x14ac:dyDescent="0.25">
      <c r="A130" s="11"/>
      <c r="B130" s="7">
        <v>22</v>
      </c>
      <c r="C130" s="12">
        <f>$C$1-B130</f>
        <v>2</v>
      </c>
      <c r="D130" s="6">
        <v>1</v>
      </c>
      <c r="E130" s="8">
        <f>D130+1</f>
        <v>2</v>
      </c>
      <c r="F130" s="8">
        <f t="shared" ref="F130:G130" si="65">E130+1</f>
        <v>3</v>
      </c>
      <c r="G130" s="9">
        <f t="shared" si="65"/>
        <v>4</v>
      </c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pans="1:28" s="10" customFormat="1" x14ac:dyDescent="0.2">
      <c r="C131" s="13" t="s">
        <v>6</v>
      </c>
      <c r="D131" s="5">
        <f>COMBIN($C$130,D130)/COMBIN($C$1,D130)</f>
        <v>8.3333333333333329E-2</v>
      </c>
      <c r="E131" s="36">
        <f>COMBIN($C$130,E130)/COMBIN($C$1,E130)</f>
        <v>3.6231884057971015E-3</v>
      </c>
      <c r="F131" s="36"/>
      <c r="G131" s="16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</row>
    <row r="132" spans="1:28" s="10" customFormat="1" x14ac:dyDescent="0.2">
      <c r="C132" s="17" t="s">
        <v>7</v>
      </c>
      <c r="D132" s="37">
        <f>1/D131</f>
        <v>12</v>
      </c>
      <c r="E132" s="10">
        <f t="shared" ref="E132" si="66">1/E131</f>
        <v>276</v>
      </c>
      <c r="G132" s="1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spans="1:28" s="10" customFormat="1" ht="16" thickBot="1" x14ac:dyDescent="0.25">
      <c r="C133" s="20" t="s">
        <v>8</v>
      </c>
      <c r="D133" s="11">
        <f>$F$1*D132</f>
        <v>11.64</v>
      </c>
      <c r="E133" s="38">
        <f t="shared" ref="E133" si="67">$F$1*E132</f>
        <v>267.71999999999997</v>
      </c>
      <c r="F133" s="38"/>
      <c r="G133" s="2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1:28" ht="16" thickBot="1" x14ac:dyDescent="0.25"/>
    <row r="135" spans="1:28" s="10" customFormat="1" ht="16" thickBot="1" x14ac:dyDescent="0.25">
      <c r="A135" s="5" t="s">
        <v>30</v>
      </c>
      <c r="B135" s="6" t="s">
        <v>3</v>
      </c>
      <c r="C135" s="7" t="s">
        <v>4</v>
      </c>
      <c r="D135" s="51" t="s">
        <v>5</v>
      </c>
      <c r="E135" s="52"/>
      <c r="F135" s="53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1:28" s="10" customFormat="1" ht="16" thickBot="1" x14ac:dyDescent="0.25">
      <c r="A136" s="11"/>
      <c r="B136" s="7">
        <v>23</v>
      </c>
      <c r="C136" s="12">
        <f>$C$1-B136</f>
        <v>1</v>
      </c>
      <c r="D136" s="6">
        <v>1</v>
      </c>
      <c r="E136" s="8">
        <f>D136+1</f>
        <v>2</v>
      </c>
      <c r="F136" s="9">
        <f t="shared" ref="F136" si="68">E136+1</f>
        <v>3</v>
      </c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1:28" s="10" customFormat="1" x14ac:dyDescent="0.2">
      <c r="C137" s="13" t="s">
        <v>6</v>
      </c>
      <c r="D137" s="5">
        <f>COMBIN($C$136,D136)/COMBIN($C$1,D136)</f>
        <v>4.1666666666666664E-2</v>
      </c>
      <c r="E137" s="36"/>
      <c r="F137" s="16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1:28" s="10" customFormat="1" x14ac:dyDescent="0.2">
      <c r="C138" s="17" t="s">
        <v>7</v>
      </c>
      <c r="D138" s="37">
        <f>1/D137</f>
        <v>24</v>
      </c>
      <c r="F138" s="12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1:28" s="10" customFormat="1" ht="16" thickBot="1" x14ac:dyDescent="0.25">
      <c r="C139" s="20" t="s">
        <v>8</v>
      </c>
      <c r="D139" s="11">
        <f>$F$1*D138</f>
        <v>23.28</v>
      </c>
      <c r="E139" s="38"/>
      <c r="F139" s="23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1:28" ht="16" thickBot="1" x14ac:dyDescent="0.25"/>
    <row r="141" spans="1:28" ht="16" thickBot="1" x14ac:dyDescent="0.25">
      <c r="A141" s="5" t="s">
        <v>31</v>
      </c>
      <c r="B141" s="6" t="s">
        <v>3</v>
      </c>
      <c r="C141" s="7" t="s">
        <v>4</v>
      </c>
      <c r="D141" s="1" t="s">
        <v>5</v>
      </c>
      <c r="E141" s="2"/>
    </row>
    <row r="142" spans="1:28" ht="16" thickBot="1" x14ac:dyDescent="0.25">
      <c r="A142" s="11"/>
      <c r="B142" s="7">
        <v>24</v>
      </c>
      <c r="C142" s="12">
        <f>$C$1-B142</f>
        <v>0</v>
      </c>
      <c r="D142" s="6">
        <v>1</v>
      </c>
      <c r="E142" s="9">
        <f>D142+1</f>
        <v>2</v>
      </c>
    </row>
    <row r="143" spans="1:28" x14ac:dyDescent="0.2">
      <c r="A143" s="10"/>
      <c r="B143" s="10"/>
      <c r="C143" s="13" t="s">
        <v>6</v>
      </c>
      <c r="D143" s="5"/>
      <c r="E143" s="16"/>
    </row>
    <row r="144" spans="1:28" x14ac:dyDescent="0.2">
      <c r="A144" s="10"/>
      <c r="B144" s="10"/>
      <c r="C144" s="17" t="s">
        <v>7</v>
      </c>
      <c r="D144" s="37"/>
      <c r="E144" s="12"/>
    </row>
    <row r="145" spans="1:5" ht="16" thickBot="1" x14ac:dyDescent="0.25">
      <c r="A145" s="10"/>
      <c r="B145" s="10"/>
      <c r="C145" s="20" t="s">
        <v>8</v>
      </c>
      <c r="D145" s="11"/>
      <c r="E145" s="23"/>
    </row>
  </sheetData>
  <mergeCells count="23">
    <mergeCell ref="D33:W33"/>
    <mergeCell ref="D3:AB3"/>
    <mergeCell ref="D9:AA9"/>
    <mergeCell ref="D15:Z15"/>
    <mergeCell ref="D21:Y21"/>
    <mergeCell ref="D27:X27"/>
    <mergeCell ref="D105:K105"/>
    <mergeCell ref="D39:V39"/>
    <mergeCell ref="D45:U45"/>
    <mergeCell ref="D51:T51"/>
    <mergeCell ref="D57:S57"/>
    <mergeCell ref="D63:R63"/>
    <mergeCell ref="D69:Q69"/>
    <mergeCell ref="D75:P75"/>
    <mergeCell ref="D81:O81"/>
    <mergeCell ref="D87:N87"/>
    <mergeCell ref="D93:M93"/>
    <mergeCell ref="D99:L99"/>
    <mergeCell ref="D111:J111"/>
    <mergeCell ref="D117:I117"/>
    <mergeCell ref="D123:H123"/>
    <mergeCell ref="D129:G129"/>
    <mergeCell ref="D135:F13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A44A-8E55-4D48-8692-4182F78E2F18}">
  <dimension ref="A1:AB145"/>
  <sheetViews>
    <sheetView tabSelected="1" zoomScale="120" zoomScaleNormal="120" workbookViewId="0">
      <selection activeCell="A9" sqref="A9:XFD9"/>
    </sheetView>
  </sheetViews>
  <sheetFormatPr baseColWidth="10" defaultColWidth="8.83203125" defaultRowHeight="15" x14ac:dyDescent="0.2"/>
  <cols>
    <col min="2" max="2" width="10.83203125" bestFit="1" customWidth="1"/>
    <col min="3" max="3" width="14.5" customWidth="1"/>
    <col min="4" max="5" width="10.6640625" customWidth="1"/>
    <col min="6" max="8" width="13" bestFit="1" customWidth="1"/>
    <col min="9" max="9" width="13.1640625" bestFit="1" customWidth="1"/>
    <col min="10" max="11" width="14.5" bestFit="1" customWidth="1"/>
    <col min="12" max="12" width="15.5" bestFit="1" customWidth="1"/>
    <col min="13" max="13" width="13.1640625" bestFit="1" customWidth="1"/>
    <col min="14" max="16" width="14.5" bestFit="1" customWidth="1"/>
    <col min="17" max="17" width="15.5" bestFit="1" customWidth="1"/>
    <col min="18" max="18" width="16.5" bestFit="1" customWidth="1"/>
    <col min="19" max="19" width="17.5" bestFit="1" customWidth="1"/>
    <col min="20" max="20" width="15.5" bestFit="1" customWidth="1"/>
    <col min="21" max="21" width="14.5" bestFit="1" customWidth="1"/>
    <col min="22" max="22" width="12.5" bestFit="1" customWidth="1"/>
    <col min="23" max="23" width="13.1640625" bestFit="1" customWidth="1"/>
    <col min="24" max="24" width="12.33203125" bestFit="1" customWidth="1"/>
    <col min="25" max="25" width="12.1640625" bestFit="1" customWidth="1"/>
    <col min="26" max="27" width="13.1640625" bestFit="1" customWidth="1"/>
  </cols>
  <sheetData>
    <row r="1" spans="1:28" ht="16" thickBot="1" x14ac:dyDescent="0.25">
      <c r="B1" s="1" t="s">
        <v>0</v>
      </c>
      <c r="C1" s="2">
        <v>24</v>
      </c>
      <c r="E1" s="3" t="s">
        <v>1</v>
      </c>
      <c r="F1" s="4">
        <v>0.99</v>
      </c>
    </row>
    <row r="2" spans="1:28" ht="16" thickBot="1" x14ac:dyDescent="0.25"/>
    <row r="3" spans="1:28" s="10" customFormat="1" ht="16" thickBot="1" x14ac:dyDescent="0.25">
      <c r="A3" s="5" t="s">
        <v>2</v>
      </c>
      <c r="B3" s="6" t="s">
        <v>3</v>
      </c>
      <c r="C3" s="7" t="s">
        <v>4</v>
      </c>
      <c r="D3" s="51" t="s">
        <v>5</v>
      </c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3"/>
    </row>
    <row r="4" spans="1:28" s="10" customFormat="1" ht="16" thickBot="1" x14ac:dyDescent="0.25">
      <c r="A4" s="11"/>
      <c r="B4" s="7">
        <v>1</v>
      </c>
      <c r="C4" s="12">
        <f>$C$1-B4</f>
        <v>23</v>
      </c>
      <c r="D4" s="6">
        <v>1</v>
      </c>
      <c r="E4" s="8">
        <f>D4+1</f>
        <v>2</v>
      </c>
      <c r="F4" s="8">
        <f t="shared" ref="F4:AB4" si="0">E4+1</f>
        <v>3</v>
      </c>
      <c r="G4" s="8">
        <f t="shared" si="0"/>
        <v>4</v>
      </c>
      <c r="H4" s="8">
        <f t="shared" si="0"/>
        <v>5</v>
      </c>
      <c r="I4" s="8">
        <f t="shared" si="0"/>
        <v>6</v>
      </c>
      <c r="J4" s="8">
        <f t="shared" si="0"/>
        <v>7</v>
      </c>
      <c r="K4" s="8">
        <f t="shared" si="0"/>
        <v>8</v>
      </c>
      <c r="L4" s="8">
        <f t="shared" si="0"/>
        <v>9</v>
      </c>
      <c r="M4" s="8">
        <f t="shared" si="0"/>
        <v>10</v>
      </c>
      <c r="N4" s="8">
        <f t="shared" si="0"/>
        <v>11</v>
      </c>
      <c r="O4" s="8">
        <f t="shared" si="0"/>
        <v>12</v>
      </c>
      <c r="P4" s="8">
        <f t="shared" si="0"/>
        <v>13</v>
      </c>
      <c r="Q4" s="8">
        <f t="shared" si="0"/>
        <v>14</v>
      </c>
      <c r="R4" s="8">
        <f t="shared" si="0"/>
        <v>15</v>
      </c>
      <c r="S4" s="8">
        <f t="shared" si="0"/>
        <v>16</v>
      </c>
      <c r="T4" s="8">
        <f t="shared" si="0"/>
        <v>17</v>
      </c>
      <c r="U4" s="8">
        <f t="shared" si="0"/>
        <v>18</v>
      </c>
      <c r="V4" s="8">
        <f t="shared" si="0"/>
        <v>19</v>
      </c>
      <c r="W4" s="8">
        <f t="shared" si="0"/>
        <v>20</v>
      </c>
      <c r="X4" s="8">
        <f t="shared" si="0"/>
        <v>21</v>
      </c>
      <c r="Y4" s="8">
        <f t="shared" si="0"/>
        <v>22</v>
      </c>
      <c r="Z4" s="8">
        <f t="shared" si="0"/>
        <v>23</v>
      </c>
      <c r="AA4" s="8">
        <f t="shared" si="0"/>
        <v>24</v>
      </c>
      <c r="AB4" s="9">
        <f t="shared" si="0"/>
        <v>25</v>
      </c>
    </row>
    <row r="5" spans="1:28" s="10" customFormat="1" x14ac:dyDescent="0.2">
      <c r="C5" s="13" t="s">
        <v>6</v>
      </c>
      <c r="D5" s="14">
        <f>COMBIN($C$4,D4)/COMBIN($C$1,D4)</f>
        <v>0.95833333333333337</v>
      </c>
      <c r="E5" s="15">
        <f t="shared" ref="E5:Z5" si="1">COMBIN($C$4,E4)/COMBIN($C$1,E4)</f>
        <v>0.91666666666666663</v>
      </c>
      <c r="F5" s="15">
        <f t="shared" si="1"/>
        <v>0.87499999999999989</v>
      </c>
      <c r="G5" s="15">
        <f t="shared" si="1"/>
        <v>0.83333333333333337</v>
      </c>
      <c r="H5" s="15">
        <f t="shared" si="1"/>
        <v>0.79166666666666696</v>
      </c>
      <c r="I5" s="15">
        <f t="shared" si="1"/>
        <v>0.74999999999999989</v>
      </c>
      <c r="J5" s="15">
        <f t="shared" si="1"/>
        <v>0.70833333333333337</v>
      </c>
      <c r="K5" s="15">
        <f t="shared" si="1"/>
        <v>0.66666666666666663</v>
      </c>
      <c r="L5" s="15">
        <f t="shared" si="1"/>
        <v>0.625</v>
      </c>
      <c r="M5" s="15">
        <f t="shared" si="1"/>
        <v>0.58333333333333348</v>
      </c>
      <c r="N5" s="15">
        <f t="shared" si="1"/>
        <v>0.54166666666666663</v>
      </c>
      <c r="O5" s="15">
        <f t="shared" si="1"/>
        <v>0.49999999999999989</v>
      </c>
      <c r="P5" s="15">
        <f t="shared" si="1"/>
        <v>0.45833333333333331</v>
      </c>
      <c r="Q5" s="15">
        <f t="shared" si="1"/>
        <v>0.41666666666666669</v>
      </c>
      <c r="R5" s="15">
        <f t="shared" si="1"/>
        <v>0.375</v>
      </c>
      <c r="S5" s="15">
        <f t="shared" si="1"/>
        <v>0.33333333333333331</v>
      </c>
      <c r="T5" s="15">
        <f t="shared" si="1"/>
        <v>0.29166666666666669</v>
      </c>
      <c r="U5" s="15">
        <f t="shared" si="1"/>
        <v>0.25</v>
      </c>
      <c r="V5" s="15">
        <f t="shared" si="1"/>
        <v>0.20833333333333337</v>
      </c>
      <c r="W5" s="15">
        <f t="shared" si="1"/>
        <v>0.16666666666666666</v>
      </c>
      <c r="X5" s="15">
        <f t="shared" si="1"/>
        <v>0.12499999999999999</v>
      </c>
      <c r="Y5" s="15">
        <f t="shared" si="1"/>
        <v>8.3333333333333329E-2</v>
      </c>
      <c r="Z5" s="15">
        <f t="shared" si="1"/>
        <v>4.1666666666666664E-2</v>
      </c>
      <c r="AA5" s="15"/>
      <c r="AB5" s="16"/>
    </row>
    <row r="6" spans="1:28" s="10" customFormat="1" x14ac:dyDescent="0.2">
      <c r="C6" s="17" t="s">
        <v>7</v>
      </c>
      <c r="D6" s="18">
        <f>1/D5</f>
        <v>1.0434782608695652</v>
      </c>
      <c r="E6" s="19">
        <f t="shared" ref="E6:Z6" si="2">1/E5</f>
        <v>1.0909090909090911</v>
      </c>
      <c r="F6" s="19">
        <f t="shared" si="2"/>
        <v>1.142857142857143</v>
      </c>
      <c r="G6" s="19">
        <f t="shared" si="2"/>
        <v>1.2</v>
      </c>
      <c r="H6" s="19">
        <f t="shared" si="2"/>
        <v>1.2631578947368416</v>
      </c>
      <c r="I6" s="19">
        <f t="shared" si="2"/>
        <v>1.3333333333333335</v>
      </c>
      <c r="J6" s="19">
        <f t="shared" si="2"/>
        <v>1.4117647058823528</v>
      </c>
      <c r="K6" s="19">
        <f t="shared" si="2"/>
        <v>1.5</v>
      </c>
      <c r="L6" s="19">
        <f t="shared" si="2"/>
        <v>1.6</v>
      </c>
      <c r="M6" s="19">
        <f t="shared" si="2"/>
        <v>1.7142857142857137</v>
      </c>
      <c r="N6" s="19">
        <f t="shared" si="2"/>
        <v>1.8461538461538463</v>
      </c>
      <c r="O6" s="19">
        <f t="shared" si="2"/>
        <v>2.0000000000000004</v>
      </c>
      <c r="P6" s="19">
        <f t="shared" si="2"/>
        <v>2.1818181818181821</v>
      </c>
      <c r="Q6" s="19">
        <f t="shared" si="2"/>
        <v>2.4</v>
      </c>
      <c r="R6" s="19">
        <f t="shared" si="2"/>
        <v>2.6666666666666665</v>
      </c>
      <c r="S6" s="19">
        <f t="shared" si="2"/>
        <v>3</v>
      </c>
      <c r="T6" s="19">
        <f t="shared" si="2"/>
        <v>3.4285714285714284</v>
      </c>
      <c r="U6" s="19">
        <f t="shared" si="2"/>
        <v>4</v>
      </c>
      <c r="V6" s="19">
        <f t="shared" si="2"/>
        <v>4.7999999999999989</v>
      </c>
      <c r="W6" s="19">
        <f t="shared" si="2"/>
        <v>6</v>
      </c>
      <c r="X6" s="19">
        <f t="shared" si="2"/>
        <v>8.0000000000000018</v>
      </c>
      <c r="Y6" s="19">
        <f t="shared" si="2"/>
        <v>12</v>
      </c>
      <c r="Z6" s="19">
        <f t="shared" si="2"/>
        <v>24</v>
      </c>
      <c r="AA6" s="19"/>
      <c r="AB6" s="12"/>
    </row>
    <row r="7" spans="1:28" s="10" customFormat="1" ht="16" thickBot="1" x14ac:dyDescent="0.25">
      <c r="C7" s="20" t="s">
        <v>8</v>
      </c>
      <c r="D7" s="21">
        <f>$F$1*D6</f>
        <v>1.0330434782608695</v>
      </c>
      <c r="E7" s="22">
        <f t="shared" ref="E7:Z7" si="3">$F$1*E6</f>
        <v>1.08</v>
      </c>
      <c r="F7" s="22">
        <f t="shared" si="3"/>
        <v>1.1314285714285717</v>
      </c>
      <c r="G7" s="22">
        <f t="shared" si="3"/>
        <v>1.1879999999999999</v>
      </c>
      <c r="H7" s="22">
        <f t="shared" si="3"/>
        <v>1.2505263157894733</v>
      </c>
      <c r="I7" s="22">
        <f t="shared" si="3"/>
        <v>1.32</v>
      </c>
      <c r="J7" s="22">
        <f t="shared" si="3"/>
        <v>1.3976470588235292</v>
      </c>
      <c r="K7" s="22">
        <f t="shared" si="3"/>
        <v>1.4849999999999999</v>
      </c>
      <c r="L7" s="22">
        <f t="shared" si="3"/>
        <v>1.5840000000000001</v>
      </c>
      <c r="M7" s="22">
        <f t="shared" si="3"/>
        <v>1.6971428571428566</v>
      </c>
      <c r="N7" s="22">
        <f t="shared" si="3"/>
        <v>1.8276923076923077</v>
      </c>
      <c r="O7" s="22">
        <f t="shared" si="3"/>
        <v>1.9800000000000004</v>
      </c>
      <c r="P7" s="22">
        <f t="shared" si="3"/>
        <v>2.16</v>
      </c>
      <c r="Q7" s="22">
        <f t="shared" si="3"/>
        <v>2.3759999999999999</v>
      </c>
      <c r="R7" s="22">
        <f t="shared" si="3"/>
        <v>2.6399999999999997</v>
      </c>
      <c r="S7" s="22">
        <f t="shared" si="3"/>
        <v>2.9699999999999998</v>
      </c>
      <c r="T7" s="22">
        <f t="shared" si="3"/>
        <v>3.3942857142857141</v>
      </c>
      <c r="U7" s="22">
        <f t="shared" si="3"/>
        <v>3.96</v>
      </c>
      <c r="V7" s="22">
        <f t="shared" si="3"/>
        <v>4.7519999999999989</v>
      </c>
      <c r="W7" s="22">
        <f t="shared" si="3"/>
        <v>5.9399999999999995</v>
      </c>
      <c r="X7" s="22">
        <f t="shared" si="3"/>
        <v>7.9200000000000017</v>
      </c>
      <c r="Y7" s="22">
        <f t="shared" si="3"/>
        <v>11.879999999999999</v>
      </c>
      <c r="Z7" s="22">
        <f t="shared" si="3"/>
        <v>23.759999999999998</v>
      </c>
      <c r="AA7" s="22"/>
      <c r="AB7" s="23"/>
    </row>
    <row r="8" spans="1:28" ht="16" thickBot="1" x14ac:dyDescent="0.25"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28" s="10" customFormat="1" ht="16" thickBot="1" x14ac:dyDescent="0.25">
      <c r="A9" s="5" t="s">
        <v>9</v>
      </c>
      <c r="B9" s="6" t="s">
        <v>3</v>
      </c>
      <c r="C9" s="7" t="s">
        <v>4</v>
      </c>
      <c r="D9" s="54" t="s">
        <v>5</v>
      </c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6"/>
      <c r="AB9"/>
    </row>
    <row r="10" spans="1:28" s="10" customFormat="1" ht="16" thickBot="1" x14ac:dyDescent="0.25">
      <c r="A10" s="11"/>
      <c r="B10" s="7">
        <v>2</v>
      </c>
      <c r="C10" s="12">
        <f>$C$1-B10</f>
        <v>22</v>
      </c>
      <c r="D10" s="25">
        <v>1</v>
      </c>
      <c r="E10" s="26">
        <f>D10+1</f>
        <v>2</v>
      </c>
      <c r="F10" s="26">
        <f t="shared" ref="F10:AA10" si="4">E10+1</f>
        <v>3</v>
      </c>
      <c r="G10" s="26">
        <f t="shared" si="4"/>
        <v>4</v>
      </c>
      <c r="H10" s="26">
        <f t="shared" si="4"/>
        <v>5</v>
      </c>
      <c r="I10" s="26">
        <f t="shared" si="4"/>
        <v>6</v>
      </c>
      <c r="J10" s="26">
        <f t="shared" si="4"/>
        <v>7</v>
      </c>
      <c r="K10" s="26">
        <f t="shared" si="4"/>
        <v>8</v>
      </c>
      <c r="L10" s="26">
        <f t="shared" si="4"/>
        <v>9</v>
      </c>
      <c r="M10" s="26">
        <f t="shared" si="4"/>
        <v>10</v>
      </c>
      <c r="N10" s="26">
        <f t="shared" si="4"/>
        <v>11</v>
      </c>
      <c r="O10" s="26">
        <f t="shared" si="4"/>
        <v>12</v>
      </c>
      <c r="P10" s="26">
        <f t="shared" si="4"/>
        <v>13</v>
      </c>
      <c r="Q10" s="26">
        <f t="shared" si="4"/>
        <v>14</v>
      </c>
      <c r="R10" s="26">
        <f t="shared" si="4"/>
        <v>15</v>
      </c>
      <c r="S10" s="26">
        <f t="shared" si="4"/>
        <v>16</v>
      </c>
      <c r="T10" s="26">
        <f t="shared" si="4"/>
        <v>17</v>
      </c>
      <c r="U10" s="26">
        <f t="shared" si="4"/>
        <v>18</v>
      </c>
      <c r="V10" s="26">
        <f t="shared" si="4"/>
        <v>19</v>
      </c>
      <c r="W10" s="26">
        <f t="shared" si="4"/>
        <v>20</v>
      </c>
      <c r="X10" s="26">
        <f t="shared" si="4"/>
        <v>21</v>
      </c>
      <c r="Y10" s="26">
        <f t="shared" si="4"/>
        <v>22</v>
      </c>
      <c r="Z10" s="26">
        <f t="shared" si="4"/>
        <v>23</v>
      </c>
      <c r="AA10" s="27">
        <f t="shared" si="4"/>
        <v>24</v>
      </c>
      <c r="AB10"/>
    </row>
    <row r="11" spans="1:28" s="10" customFormat="1" x14ac:dyDescent="0.2">
      <c r="C11" s="13" t="s">
        <v>6</v>
      </c>
      <c r="D11" s="14">
        <f>COMBIN($C$10,D10)/COMBIN($C$1,D10)</f>
        <v>0.91666666666666663</v>
      </c>
      <c r="E11" s="15">
        <f>COMBIN($C$10,E10)/COMBIN($C$1,E10)</f>
        <v>0.83695652173913049</v>
      </c>
      <c r="F11" s="15">
        <f>COMBIN($C$10,F10)/COMBIN($C$1,F10)</f>
        <v>0.76086956521739124</v>
      </c>
      <c r="G11" s="15">
        <f>COMBIN($C$10,G10)/COMBIN($C$1,G10)</f>
        <v>0.68840579710144922</v>
      </c>
      <c r="H11" s="15">
        <f>COMBIN($C$10,H10)/COMBIN($C$1,H10)</f>
        <v>0.61956521739130443</v>
      </c>
      <c r="I11" s="15">
        <f>COMBIN($C$10,I10)/COMBIN($C$1,I10)</f>
        <v>0.55434782608695643</v>
      </c>
      <c r="J11" s="15">
        <f>COMBIN($C$10,J10)/COMBIN($C$1,J10)</f>
        <v>0.49275362318840582</v>
      </c>
      <c r="K11" s="15">
        <f>COMBIN($C$10,K10)/COMBIN($C$1,K10)</f>
        <v>0.43478260869565216</v>
      </c>
      <c r="L11" s="15">
        <f>COMBIN($C$10,L10)/COMBIN($C$1,L10)</f>
        <v>0.38043478260869568</v>
      </c>
      <c r="M11" s="15">
        <f>COMBIN($C$10,M10)/COMBIN($C$1,M10)</f>
        <v>0.32971014492753631</v>
      </c>
      <c r="N11" s="15">
        <f>COMBIN($C$10,N10)/COMBIN($C$1,N10)</f>
        <v>0.28260869565217384</v>
      </c>
      <c r="O11" s="15">
        <f>COMBIN($C$10,O10)/COMBIN($C$1,O10)</f>
        <v>0.23913043478260865</v>
      </c>
      <c r="P11" s="15">
        <f>COMBIN($C$10,P10)/COMBIN($C$1,P10)</f>
        <v>0.19927536231884055</v>
      </c>
      <c r="Q11" s="15">
        <f>COMBIN($C$10,Q10)/COMBIN($C$1,Q10)</f>
        <v>0.16304347826086957</v>
      </c>
      <c r="R11" s="15">
        <f>COMBIN($C$10,R10)/COMBIN($C$1,R10)</f>
        <v>0.13043478260869565</v>
      </c>
      <c r="S11" s="15">
        <f>COMBIN($C$10,S10)/COMBIN($C$1,S10)</f>
        <v>0.10144927536231885</v>
      </c>
      <c r="T11" s="15">
        <f>COMBIN($C$10,T10)/COMBIN($C$1,T10)</f>
        <v>7.6086956521739135E-2</v>
      </c>
      <c r="U11" s="15">
        <f>COMBIN($C$10,U10)/COMBIN($C$1,U10)</f>
        <v>5.4347826086956513E-2</v>
      </c>
      <c r="V11" s="15">
        <f>COMBIN($C$10,V10)/COMBIN($C$1,V10)</f>
        <v>3.6231884057971023E-2</v>
      </c>
      <c r="W11" s="15">
        <f>COMBIN($C$10,W10)/COMBIN($C$1,W10)</f>
        <v>2.1739130434782608E-2</v>
      </c>
      <c r="X11" s="15">
        <f>COMBIN($C$10,X10)/COMBIN($C$1,X10)</f>
        <v>1.0869565217391302E-2</v>
      </c>
      <c r="Y11" s="15">
        <f>COMBIN($C$10,Y10)/COMBIN($C$1,Y10)</f>
        <v>3.6231884057971015E-3</v>
      </c>
      <c r="Z11" s="15"/>
      <c r="AA11" s="28"/>
      <c r="AB11"/>
    </row>
    <row r="12" spans="1:28" s="10" customFormat="1" x14ac:dyDescent="0.2">
      <c r="C12" s="17" t="s">
        <v>7</v>
      </c>
      <c r="D12" s="18">
        <f>1/D11</f>
        <v>1.0909090909090911</v>
      </c>
      <c r="E12" s="19">
        <f t="shared" ref="E12:Y12" si="5">1/E11</f>
        <v>1.1948051948051948</v>
      </c>
      <c r="F12" s="19">
        <f t="shared" si="5"/>
        <v>1.3142857142857145</v>
      </c>
      <c r="G12" s="19">
        <f t="shared" si="5"/>
        <v>1.4526315789473685</v>
      </c>
      <c r="H12" s="19">
        <f t="shared" si="5"/>
        <v>1.6140350877192979</v>
      </c>
      <c r="I12" s="19">
        <f t="shared" si="5"/>
        <v>1.8039215686274512</v>
      </c>
      <c r="J12" s="19">
        <f t="shared" si="5"/>
        <v>2.0294117647058822</v>
      </c>
      <c r="K12" s="19">
        <f t="shared" si="5"/>
        <v>2.3000000000000003</v>
      </c>
      <c r="L12" s="19">
        <f t="shared" si="5"/>
        <v>2.6285714285714286</v>
      </c>
      <c r="M12" s="19">
        <f t="shared" si="5"/>
        <v>3.0329670329670324</v>
      </c>
      <c r="N12" s="19">
        <f t="shared" si="5"/>
        <v>3.5384615384615392</v>
      </c>
      <c r="O12" s="19">
        <f t="shared" si="5"/>
        <v>4.1818181818181825</v>
      </c>
      <c r="P12" s="19">
        <f t="shared" si="5"/>
        <v>5.0181818181818185</v>
      </c>
      <c r="Q12" s="19">
        <f t="shared" si="5"/>
        <v>6.1333333333333329</v>
      </c>
      <c r="R12" s="19">
        <f t="shared" si="5"/>
        <v>7.666666666666667</v>
      </c>
      <c r="S12" s="19">
        <f t="shared" si="5"/>
        <v>9.8571428571428559</v>
      </c>
      <c r="T12" s="19">
        <f t="shared" si="5"/>
        <v>13.142857142857142</v>
      </c>
      <c r="U12" s="19">
        <f t="shared" si="5"/>
        <v>18.400000000000002</v>
      </c>
      <c r="V12" s="19">
        <f t="shared" si="5"/>
        <v>27.599999999999994</v>
      </c>
      <c r="W12" s="19">
        <f t="shared" si="5"/>
        <v>46</v>
      </c>
      <c r="X12" s="19">
        <f t="shared" si="5"/>
        <v>92.000000000000014</v>
      </c>
      <c r="Y12" s="19">
        <f t="shared" si="5"/>
        <v>276</v>
      </c>
      <c r="Z12" s="19"/>
      <c r="AA12" s="29"/>
      <c r="AB12"/>
    </row>
    <row r="13" spans="1:28" s="10" customFormat="1" ht="16" thickBot="1" x14ac:dyDescent="0.25">
      <c r="C13" s="20" t="s">
        <v>8</v>
      </c>
      <c r="D13" s="30">
        <f>$F$1*D12</f>
        <v>1.08</v>
      </c>
      <c r="E13" s="31">
        <f t="shared" ref="E13:Y13" si="6">$F$1*E12</f>
        <v>1.1828571428571428</v>
      </c>
      <c r="F13" s="31">
        <f t="shared" si="6"/>
        <v>1.3011428571428574</v>
      </c>
      <c r="G13" s="31">
        <f t="shared" si="6"/>
        <v>1.4381052631578948</v>
      </c>
      <c r="H13" s="31">
        <f t="shared" si="6"/>
        <v>1.597894736842105</v>
      </c>
      <c r="I13" s="31">
        <f t="shared" si="6"/>
        <v>1.7858823529411767</v>
      </c>
      <c r="J13" s="31">
        <f t="shared" si="6"/>
        <v>2.0091176470588232</v>
      </c>
      <c r="K13" s="31">
        <f t="shared" si="6"/>
        <v>2.2770000000000001</v>
      </c>
      <c r="L13" s="31">
        <f t="shared" si="6"/>
        <v>2.6022857142857143</v>
      </c>
      <c r="M13" s="31">
        <f t="shared" si="6"/>
        <v>3.0026373626373619</v>
      </c>
      <c r="N13" s="31">
        <f t="shared" si="6"/>
        <v>3.5030769230769239</v>
      </c>
      <c r="O13" s="31">
        <f t="shared" si="6"/>
        <v>4.1400000000000006</v>
      </c>
      <c r="P13" s="31">
        <f t="shared" si="6"/>
        <v>4.968</v>
      </c>
      <c r="Q13" s="31">
        <f t="shared" si="6"/>
        <v>6.0719999999999992</v>
      </c>
      <c r="R13" s="31">
        <f t="shared" si="6"/>
        <v>7.59</v>
      </c>
      <c r="S13" s="31">
        <f t="shared" si="6"/>
        <v>9.7585714285714271</v>
      </c>
      <c r="T13" s="31">
        <f t="shared" si="6"/>
        <v>13.011428571428571</v>
      </c>
      <c r="U13" s="31">
        <f t="shared" si="6"/>
        <v>18.216000000000001</v>
      </c>
      <c r="V13" s="31">
        <f t="shared" si="6"/>
        <v>27.323999999999995</v>
      </c>
      <c r="W13" s="31">
        <f t="shared" si="6"/>
        <v>45.54</v>
      </c>
      <c r="X13" s="31">
        <f t="shared" si="6"/>
        <v>91.080000000000013</v>
      </c>
      <c r="Y13" s="31">
        <f t="shared" si="6"/>
        <v>273.24</v>
      </c>
      <c r="Z13" s="31"/>
      <c r="AA13" s="32"/>
      <c r="AB13"/>
    </row>
    <row r="14" spans="1:28" ht="16" thickBot="1" x14ac:dyDescent="0.25"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28" s="10" customFormat="1" ht="16" thickBot="1" x14ac:dyDescent="0.25">
      <c r="A15" s="5" t="s">
        <v>10</v>
      </c>
      <c r="B15" s="6" t="s">
        <v>3</v>
      </c>
      <c r="C15" s="7" t="s">
        <v>4</v>
      </c>
      <c r="D15" s="54" t="s">
        <v>5</v>
      </c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6"/>
      <c r="AA15" s="24"/>
      <c r="AB15"/>
    </row>
    <row r="16" spans="1:28" s="10" customFormat="1" ht="16" thickBot="1" x14ac:dyDescent="0.25">
      <c r="A16" s="11"/>
      <c r="B16" s="7">
        <v>3</v>
      </c>
      <c r="C16" s="12">
        <f>$C$1-B16</f>
        <v>21</v>
      </c>
      <c r="D16" s="25">
        <v>1</v>
      </c>
      <c r="E16" s="26">
        <f>D16+1</f>
        <v>2</v>
      </c>
      <c r="F16" s="26">
        <f t="shared" ref="F16:Z16" si="7">E16+1</f>
        <v>3</v>
      </c>
      <c r="G16" s="26">
        <f t="shared" si="7"/>
        <v>4</v>
      </c>
      <c r="H16" s="26">
        <f t="shared" si="7"/>
        <v>5</v>
      </c>
      <c r="I16" s="26">
        <f t="shared" si="7"/>
        <v>6</v>
      </c>
      <c r="J16" s="26">
        <f t="shared" si="7"/>
        <v>7</v>
      </c>
      <c r="K16" s="26">
        <f t="shared" si="7"/>
        <v>8</v>
      </c>
      <c r="L16" s="26">
        <f t="shared" si="7"/>
        <v>9</v>
      </c>
      <c r="M16" s="26">
        <f t="shared" si="7"/>
        <v>10</v>
      </c>
      <c r="N16" s="26">
        <f t="shared" si="7"/>
        <v>11</v>
      </c>
      <c r="O16" s="26">
        <f t="shared" si="7"/>
        <v>12</v>
      </c>
      <c r="P16" s="26">
        <f t="shared" si="7"/>
        <v>13</v>
      </c>
      <c r="Q16" s="26">
        <f t="shared" si="7"/>
        <v>14</v>
      </c>
      <c r="R16" s="26">
        <f t="shared" si="7"/>
        <v>15</v>
      </c>
      <c r="S16" s="26">
        <f t="shared" si="7"/>
        <v>16</v>
      </c>
      <c r="T16" s="26">
        <f t="shared" si="7"/>
        <v>17</v>
      </c>
      <c r="U16" s="26">
        <f t="shared" si="7"/>
        <v>18</v>
      </c>
      <c r="V16" s="26">
        <f t="shared" si="7"/>
        <v>19</v>
      </c>
      <c r="W16" s="26">
        <f t="shared" si="7"/>
        <v>20</v>
      </c>
      <c r="X16" s="26">
        <f t="shared" si="7"/>
        <v>21</v>
      </c>
      <c r="Y16" s="26">
        <f t="shared" si="7"/>
        <v>22</v>
      </c>
      <c r="Z16" s="27">
        <f t="shared" si="7"/>
        <v>23</v>
      </c>
      <c r="AA16" s="24"/>
      <c r="AB16"/>
    </row>
    <row r="17" spans="1:28" s="10" customFormat="1" x14ac:dyDescent="0.2">
      <c r="C17" s="13" t="s">
        <v>6</v>
      </c>
      <c r="D17" s="14">
        <f>COMBIN($C$16,D16)/COMBIN($C$1,D16)</f>
        <v>0.875</v>
      </c>
      <c r="E17" s="15">
        <f>COMBIN($C$16,E16)/COMBIN($C$1,E16)</f>
        <v>0.76086956521739135</v>
      </c>
      <c r="F17" s="15">
        <f>COMBIN($C$16,F16)/COMBIN($C$1,F16)</f>
        <v>0.65711462450592883</v>
      </c>
      <c r="G17" s="15">
        <f>COMBIN($C$16,G16)/COMBIN($C$1,G16)</f>
        <v>0.56324110671936756</v>
      </c>
      <c r="H17" s="15">
        <f>COMBIN($C$16,H16)/COMBIN($C$1,H16)</f>
        <v>0.47875494071146252</v>
      </c>
      <c r="I17" s="15">
        <f>COMBIN($C$16,I16)/COMBIN($C$1,I16)</f>
        <v>0.40316205533596827</v>
      </c>
      <c r="J17" s="15">
        <f>COMBIN($C$16,J16)/COMBIN($C$1,J16)</f>
        <v>0.33596837944664032</v>
      </c>
      <c r="K17" s="15">
        <f>COMBIN($C$16,K16)/COMBIN($C$1,K16)</f>
        <v>0.27667984189723321</v>
      </c>
      <c r="L17" s="15">
        <f>COMBIN($C$16,L16)/COMBIN($C$1,L16)</f>
        <v>0.22480237154150201</v>
      </c>
      <c r="M17" s="15">
        <f>COMBIN($C$16,M16)/COMBIN($C$1,M16)</f>
        <v>0.17984189723320157</v>
      </c>
      <c r="N17" s="15">
        <f>COMBIN($C$16,N16)/COMBIN($C$1,N16)</f>
        <v>0.14130434782608692</v>
      </c>
      <c r="O17" s="15">
        <f>COMBIN($C$16,O16)/COMBIN($C$1,O16)</f>
        <v>0.10869565217391303</v>
      </c>
      <c r="P17" s="15">
        <f>COMBIN($C$16,P16)/COMBIN($C$1,P16)</f>
        <v>8.152173913043477E-2</v>
      </c>
      <c r="Q17" s="15">
        <f>COMBIN($C$16,Q16)/COMBIN($C$1,Q16)</f>
        <v>5.9288537549407112E-2</v>
      </c>
      <c r="R17" s="15">
        <f>COMBIN($C$16,R16)/COMBIN($C$1,R16)</f>
        <v>4.1501976284584984E-2</v>
      </c>
      <c r="S17" s="15">
        <f>COMBIN($C$16,S16)/COMBIN($C$1,S16)</f>
        <v>2.766798418972332E-2</v>
      </c>
      <c r="T17" s="15">
        <f>COMBIN($C$16,T16)/COMBIN($C$1,T16)</f>
        <v>1.7292490118577076E-2</v>
      </c>
      <c r="U17" s="15">
        <f>COMBIN($C$16,U16)/COMBIN($C$1,U16)</f>
        <v>9.8814229249011842E-3</v>
      </c>
      <c r="V17" s="15">
        <f>COMBIN($C$16,V16)/COMBIN($C$1,V16)</f>
        <v>4.9407114624505939E-3</v>
      </c>
      <c r="W17" s="15">
        <f>COMBIN($C$16,W16)/COMBIN($C$1,W16)</f>
        <v>1.976284584980237E-3</v>
      </c>
      <c r="X17" s="15">
        <f>COMBIN($C$16,X16)/COMBIN($C$1,X16)</f>
        <v>4.9407114624505926E-4</v>
      </c>
      <c r="Y17" s="15"/>
      <c r="Z17" s="28"/>
      <c r="AA17" s="24"/>
      <c r="AB17"/>
    </row>
    <row r="18" spans="1:28" s="10" customFormat="1" x14ac:dyDescent="0.2">
      <c r="C18" s="17" t="s">
        <v>7</v>
      </c>
      <c r="D18" s="18">
        <f>1/D17</f>
        <v>1.1428571428571428</v>
      </c>
      <c r="E18" s="19">
        <f t="shared" ref="E18:X18" si="8">1/E17</f>
        <v>1.3142857142857143</v>
      </c>
      <c r="F18" s="19">
        <f t="shared" si="8"/>
        <v>1.5218045112781955</v>
      </c>
      <c r="G18" s="19">
        <f t="shared" si="8"/>
        <v>1.7754385964912283</v>
      </c>
      <c r="H18" s="19">
        <f t="shared" si="8"/>
        <v>2.0887512899896796</v>
      </c>
      <c r="I18" s="19">
        <f t="shared" si="8"/>
        <v>2.4803921568627456</v>
      </c>
      <c r="J18" s="19">
        <f t="shared" si="8"/>
        <v>2.9764705882352942</v>
      </c>
      <c r="K18" s="19">
        <f t="shared" si="8"/>
        <v>3.6142857142857143</v>
      </c>
      <c r="L18" s="19">
        <f t="shared" si="8"/>
        <v>4.4483516483516476</v>
      </c>
      <c r="M18" s="19">
        <f t="shared" si="8"/>
        <v>5.5604395604395611</v>
      </c>
      <c r="N18" s="19">
        <f t="shared" si="8"/>
        <v>7.0769230769230784</v>
      </c>
      <c r="O18" s="19">
        <f t="shared" si="8"/>
        <v>9.2000000000000011</v>
      </c>
      <c r="P18" s="19">
        <f t="shared" si="8"/>
        <v>12.266666666666669</v>
      </c>
      <c r="Q18" s="19">
        <f t="shared" si="8"/>
        <v>16.866666666666667</v>
      </c>
      <c r="R18" s="19">
        <f t="shared" si="8"/>
        <v>24.095238095238095</v>
      </c>
      <c r="S18" s="19">
        <f t="shared" si="8"/>
        <v>36.142857142857146</v>
      </c>
      <c r="T18" s="19">
        <f t="shared" si="8"/>
        <v>57.828571428571429</v>
      </c>
      <c r="U18" s="19">
        <f t="shared" si="8"/>
        <v>101.20000000000002</v>
      </c>
      <c r="V18" s="19">
        <f t="shared" si="8"/>
        <v>202.39999999999995</v>
      </c>
      <c r="W18" s="19">
        <f t="shared" si="8"/>
        <v>506.00000000000006</v>
      </c>
      <c r="X18" s="19">
        <f t="shared" si="8"/>
        <v>2024.0000000000002</v>
      </c>
      <c r="Y18" s="19"/>
      <c r="Z18" s="29"/>
      <c r="AA18" s="24"/>
      <c r="AB18"/>
    </row>
    <row r="19" spans="1:28" s="10" customFormat="1" ht="16" thickBot="1" x14ac:dyDescent="0.25">
      <c r="C19" s="20" t="s">
        <v>8</v>
      </c>
      <c r="D19" s="30">
        <f>$F$1*D18</f>
        <v>1.1314285714285715</v>
      </c>
      <c r="E19" s="31">
        <f t="shared" ref="E19:X19" si="9">$F$1*E18</f>
        <v>1.3011428571428572</v>
      </c>
      <c r="F19" s="31">
        <f t="shared" si="9"/>
        <v>1.5065864661654136</v>
      </c>
      <c r="G19" s="31">
        <f t="shared" si="9"/>
        <v>1.757684210526316</v>
      </c>
      <c r="H19" s="31">
        <f t="shared" si="9"/>
        <v>2.0678637770897828</v>
      </c>
      <c r="I19" s="31">
        <f t="shared" si="9"/>
        <v>2.4555882352941181</v>
      </c>
      <c r="J19" s="31">
        <f t="shared" si="9"/>
        <v>2.9467058823529411</v>
      </c>
      <c r="K19" s="31">
        <f t="shared" si="9"/>
        <v>3.5781428571428573</v>
      </c>
      <c r="L19" s="31">
        <f t="shared" si="9"/>
        <v>4.4038681318681308</v>
      </c>
      <c r="M19" s="31">
        <f t="shared" si="9"/>
        <v>5.5048351648351659</v>
      </c>
      <c r="N19" s="31">
        <f t="shared" si="9"/>
        <v>7.0061538461538477</v>
      </c>
      <c r="O19" s="31">
        <f t="shared" si="9"/>
        <v>9.1080000000000005</v>
      </c>
      <c r="P19" s="31">
        <f t="shared" si="9"/>
        <v>12.144000000000002</v>
      </c>
      <c r="Q19" s="31">
        <f t="shared" si="9"/>
        <v>16.698</v>
      </c>
      <c r="R19" s="31">
        <f t="shared" si="9"/>
        <v>23.854285714285712</v>
      </c>
      <c r="S19" s="31">
        <f t="shared" si="9"/>
        <v>35.781428571428577</v>
      </c>
      <c r="T19" s="31">
        <f t="shared" si="9"/>
        <v>57.250285714285717</v>
      </c>
      <c r="U19" s="31">
        <f t="shared" si="9"/>
        <v>100.18800000000002</v>
      </c>
      <c r="V19" s="31">
        <f t="shared" si="9"/>
        <v>200.37599999999995</v>
      </c>
      <c r="W19" s="31">
        <f t="shared" si="9"/>
        <v>500.94000000000005</v>
      </c>
      <c r="X19" s="31">
        <f t="shared" si="9"/>
        <v>2003.7600000000002</v>
      </c>
      <c r="Y19" s="31"/>
      <c r="Z19" s="32"/>
      <c r="AA19" s="24"/>
      <c r="AB19"/>
    </row>
    <row r="20" spans="1:28" ht="16" thickBot="1" x14ac:dyDescent="0.25"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spans="1:28" s="10" customFormat="1" ht="16" thickBot="1" x14ac:dyDescent="0.25">
      <c r="A21" s="5" t="s">
        <v>11</v>
      </c>
      <c r="B21" s="6" t="s">
        <v>3</v>
      </c>
      <c r="C21" s="7" t="s">
        <v>4</v>
      </c>
      <c r="D21" s="54" t="s">
        <v>5</v>
      </c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6"/>
      <c r="Z21" s="24"/>
      <c r="AA21" s="24"/>
      <c r="AB21"/>
    </row>
    <row r="22" spans="1:28" s="10" customFormat="1" ht="16" thickBot="1" x14ac:dyDescent="0.25">
      <c r="A22" s="11"/>
      <c r="B22" s="7">
        <v>4</v>
      </c>
      <c r="C22" s="12">
        <f>$C$1-B22</f>
        <v>20</v>
      </c>
      <c r="D22" s="25">
        <v>1</v>
      </c>
      <c r="E22" s="26">
        <f>D22+1</f>
        <v>2</v>
      </c>
      <c r="F22" s="26">
        <f t="shared" ref="F22:Y22" si="10">E22+1</f>
        <v>3</v>
      </c>
      <c r="G22" s="26">
        <f t="shared" si="10"/>
        <v>4</v>
      </c>
      <c r="H22" s="26">
        <f t="shared" si="10"/>
        <v>5</v>
      </c>
      <c r="I22" s="26">
        <f t="shared" si="10"/>
        <v>6</v>
      </c>
      <c r="J22" s="26">
        <f t="shared" si="10"/>
        <v>7</v>
      </c>
      <c r="K22" s="26">
        <f t="shared" si="10"/>
        <v>8</v>
      </c>
      <c r="L22" s="26">
        <f t="shared" si="10"/>
        <v>9</v>
      </c>
      <c r="M22" s="26">
        <f t="shared" si="10"/>
        <v>10</v>
      </c>
      <c r="N22" s="26">
        <f t="shared" si="10"/>
        <v>11</v>
      </c>
      <c r="O22" s="26">
        <f t="shared" si="10"/>
        <v>12</v>
      </c>
      <c r="P22" s="26">
        <f t="shared" si="10"/>
        <v>13</v>
      </c>
      <c r="Q22" s="26">
        <f t="shared" si="10"/>
        <v>14</v>
      </c>
      <c r="R22" s="26">
        <f t="shared" si="10"/>
        <v>15</v>
      </c>
      <c r="S22" s="26">
        <f t="shared" si="10"/>
        <v>16</v>
      </c>
      <c r="T22" s="26">
        <f t="shared" si="10"/>
        <v>17</v>
      </c>
      <c r="U22" s="26">
        <f t="shared" si="10"/>
        <v>18</v>
      </c>
      <c r="V22" s="26">
        <f t="shared" si="10"/>
        <v>19</v>
      </c>
      <c r="W22" s="26">
        <f t="shared" si="10"/>
        <v>20</v>
      </c>
      <c r="X22" s="26">
        <f t="shared" si="10"/>
        <v>21</v>
      </c>
      <c r="Y22" s="27">
        <f t="shared" si="10"/>
        <v>22</v>
      </c>
      <c r="Z22" s="24"/>
      <c r="AA22" s="24"/>
      <c r="AB22"/>
    </row>
    <row r="23" spans="1:28" s="10" customFormat="1" x14ac:dyDescent="0.2">
      <c r="C23" s="13" t="s">
        <v>6</v>
      </c>
      <c r="D23" s="15">
        <f>COMBIN($C$22,D22)/COMBIN($C$1,D22)</f>
        <v>0.83333333333333337</v>
      </c>
      <c r="E23" s="15">
        <f>COMBIN($C$22,E22)/COMBIN($C$1,E22)</f>
        <v>0.68840579710144922</v>
      </c>
      <c r="F23" s="15">
        <f>COMBIN($C$22,F22)/COMBIN($C$1,F22)</f>
        <v>0.56324110671936756</v>
      </c>
      <c r="G23" s="15">
        <f>COMBIN($C$22,G22)/COMBIN($C$1,G22)</f>
        <v>0.45595708639186899</v>
      </c>
      <c r="H23" s="15">
        <f>COMBIN($C$22,H22)/COMBIN($C$1,H22)</f>
        <v>0.36476566911349523</v>
      </c>
      <c r="I23" s="15">
        <f>COMBIN($C$22,I22)/COMBIN($C$1,I22)</f>
        <v>0.28797289666854881</v>
      </c>
      <c r="J23" s="15">
        <f>COMBIN($C$22,J22)/COMBIN($C$1,J22)</f>
        <v>0.22397891963109354</v>
      </c>
      <c r="K23" s="15">
        <f>COMBIN($C$22,K22)/COMBIN($C$1,K22)</f>
        <v>0.17127799736495392</v>
      </c>
      <c r="L23" s="15">
        <f>COMBIN($C$22,L22)/COMBIN($C$1,L22)</f>
        <v>0.12845849802371542</v>
      </c>
      <c r="M23" s="15">
        <f>COMBIN($C$22,M22)/COMBIN($C$1,M22)</f>
        <v>9.420289855072464E-2</v>
      </c>
      <c r="N23" s="15">
        <f>COMBIN($C$22,N22)/COMBIN($C$1,N22)</f>
        <v>6.7287784679089011E-2</v>
      </c>
      <c r="O23" s="15">
        <f>COMBIN($C$22,O22)/COMBIN($C$1,O22)</f>
        <v>4.6583850931677009E-2</v>
      </c>
      <c r="P23" s="15">
        <f>COMBIN($C$22,P22)/COMBIN($C$1,P22)</f>
        <v>3.1055900621118005E-2</v>
      </c>
      <c r="Q23" s="15">
        <f>COMBIN($C$22,Q22)/COMBIN($C$1,Q22)</f>
        <v>1.9762845849802372E-2</v>
      </c>
      <c r="R23" s="15">
        <f>COMBIN($C$22,R22)/COMBIN($C$1,R22)</f>
        <v>1.1857707509881422E-2</v>
      </c>
      <c r="S23" s="15">
        <f>COMBIN($C$22,S22)/COMBIN($C$1,S22)</f>
        <v>6.587615283267457E-3</v>
      </c>
      <c r="T23" s="15">
        <f>COMBIN($C$22,T22)/COMBIN($C$1,T22)</f>
        <v>3.2938076416337285E-3</v>
      </c>
      <c r="U23" s="15">
        <f>COMBIN($C$22,U22)/COMBIN($C$1,U22)</f>
        <v>1.4116318464144548E-3</v>
      </c>
      <c r="V23" s="15">
        <f>COMBIN($C$22,V22)/COMBIN($C$1,V22)</f>
        <v>4.7054394880481843E-4</v>
      </c>
      <c r="W23" s="15">
        <f>COMBIN($C$22,W22)/COMBIN($C$1,W22)</f>
        <v>9.4108789760963672E-5</v>
      </c>
      <c r="X23" s="15"/>
      <c r="Y23" s="28"/>
      <c r="Z23" s="24"/>
      <c r="AA23" s="24"/>
      <c r="AB23"/>
    </row>
    <row r="24" spans="1:28" s="10" customFormat="1" x14ac:dyDescent="0.2">
      <c r="C24" s="17" t="s">
        <v>7</v>
      </c>
      <c r="D24" s="18">
        <f>1/D23</f>
        <v>1.2</v>
      </c>
      <c r="E24" s="19">
        <f t="shared" ref="E24:W24" si="11">1/E23</f>
        <v>1.4526315789473685</v>
      </c>
      <c r="F24" s="19">
        <f t="shared" si="11"/>
        <v>1.7754385964912283</v>
      </c>
      <c r="G24" s="19">
        <f t="shared" si="11"/>
        <v>2.193188854489164</v>
      </c>
      <c r="H24" s="19">
        <f t="shared" si="11"/>
        <v>2.7414860681114548</v>
      </c>
      <c r="I24" s="19">
        <f t="shared" si="11"/>
        <v>3.4725490196078437</v>
      </c>
      <c r="J24" s="19">
        <f t="shared" si="11"/>
        <v>4.4647058823529413</v>
      </c>
      <c r="K24" s="19">
        <f t="shared" si="11"/>
        <v>5.8384615384615373</v>
      </c>
      <c r="L24" s="19">
        <f t="shared" si="11"/>
        <v>7.7846153846153845</v>
      </c>
      <c r="M24" s="19">
        <f t="shared" si="11"/>
        <v>10.615384615384615</v>
      </c>
      <c r="N24" s="19">
        <f t="shared" si="11"/>
        <v>14.861538461538466</v>
      </c>
      <c r="O24" s="19">
        <f t="shared" si="11"/>
        <v>21.466666666666672</v>
      </c>
      <c r="P24" s="19">
        <f t="shared" si="11"/>
        <v>32.20000000000001</v>
      </c>
      <c r="Q24" s="19">
        <f t="shared" si="11"/>
        <v>50.6</v>
      </c>
      <c r="R24" s="19">
        <f t="shared" si="11"/>
        <v>84.333333333333343</v>
      </c>
      <c r="S24" s="19">
        <f t="shared" si="11"/>
        <v>151.80000000000001</v>
      </c>
      <c r="T24" s="19">
        <f t="shared" si="11"/>
        <v>303.60000000000002</v>
      </c>
      <c r="U24" s="19">
        <f t="shared" si="11"/>
        <v>708.4000000000002</v>
      </c>
      <c r="V24" s="19">
        <f t="shared" si="11"/>
        <v>2125.1999999999998</v>
      </c>
      <c r="W24" s="19">
        <f t="shared" si="11"/>
        <v>10626</v>
      </c>
      <c r="X24" s="19"/>
      <c r="Y24" s="29"/>
      <c r="Z24" s="24"/>
      <c r="AA24" s="24"/>
      <c r="AB24"/>
    </row>
    <row r="25" spans="1:28" s="10" customFormat="1" ht="16" thickBot="1" x14ac:dyDescent="0.25">
      <c r="C25" s="20" t="s">
        <v>8</v>
      </c>
      <c r="D25" s="30">
        <f>$F$1*D24</f>
        <v>1.1879999999999999</v>
      </c>
      <c r="E25" s="31">
        <f t="shared" ref="E25:W25" si="12">$F$1*E24</f>
        <v>1.4381052631578948</v>
      </c>
      <c r="F25" s="31">
        <f t="shared" si="12"/>
        <v>1.757684210526316</v>
      </c>
      <c r="G25" s="31">
        <f t="shared" si="12"/>
        <v>2.1712569659442722</v>
      </c>
      <c r="H25" s="31">
        <f t="shared" si="12"/>
        <v>2.7140712074303401</v>
      </c>
      <c r="I25" s="31">
        <f t="shared" si="12"/>
        <v>3.4378235294117654</v>
      </c>
      <c r="J25" s="31">
        <f t="shared" si="12"/>
        <v>4.4200588235294118</v>
      </c>
      <c r="K25" s="31">
        <f t="shared" si="12"/>
        <v>5.7800769230769218</v>
      </c>
      <c r="L25" s="31">
        <f t="shared" si="12"/>
        <v>7.7067692307692308</v>
      </c>
      <c r="M25" s="31">
        <f t="shared" si="12"/>
        <v>10.509230769230768</v>
      </c>
      <c r="N25" s="31">
        <f t="shared" si="12"/>
        <v>14.712923076923081</v>
      </c>
      <c r="O25" s="31">
        <f t="shared" si="12"/>
        <v>21.252000000000006</v>
      </c>
      <c r="P25" s="31">
        <f t="shared" si="12"/>
        <v>31.878000000000011</v>
      </c>
      <c r="Q25" s="31">
        <f t="shared" si="12"/>
        <v>50.094000000000001</v>
      </c>
      <c r="R25" s="31">
        <f t="shared" si="12"/>
        <v>83.490000000000009</v>
      </c>
      <c r="S25" s="31">
        <f t="shared" si="12"/>
        <v>150.28200000000001</v>
      </c>
      <c r="T25" s="31">
        <f t="shared" si="12"/>
        <v>300.56400000000002</v>
      </c>
      <c r="U25" s="31">
        <f t="shared" si="12"/>
        <v>701.31600000000014</v>
      </c>
      <c r="V25" s="31">
        <f t="shared" si="12"/>
        <v>2103.9479999999999</v>
      </c>
      <c r="W25" s="31">
        <f t="shared" si="12"/>
        <v>10519.74</v>
      </c>
      <c r="X25" s="31"/>
      <c r="Y25" s="32"/>
      <c r="Z25" s="24"/>
      <c r="AA25" s="24"/>
      <c r="AB25"/>
    </row>
    <row r="26" spans="1:28" ht="16" thickBot="1" x14ac:dyDescent="0.25"/>
    <row r="27" spans="1:28" s="10" customFormat="1" ht="16" thickBot="1" x14ac:dyDescent="0.25">
      <c r="A27" s="5" t="s">
        <v>12</v>
      </c>
      <c r="B27" s="6" t="s">
        <v>3</v>
      </c>
      <c r="C27" s="7" t="s">
        <v>4</v>
      </c>
      <c r="D27" s="51" t="s">
        <v>5</v>
      </c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3"/>
      <c r="Y27"/>
      <c r="Z27"/>
      <c r="AA27"/>
      <c r="AB27"/>
    </row>
    <row r="28" spans="1:28" s="10" customFormat="1" ht="16" thickBot="1" x14ac:dyDescent="0.25">
      <c r="A28" s="11"/>
      <c r="B28" s="7">
        <v>5</v>
      </c>
      <c r="C28" s="12">
        <f>$C$1-B28</f>
        <v>19</v>
      </c>
      <c r="D28" s="6">
        <v>1</v>
      </c>
      <c r="E28" s="8">
        <f>D28+1</f>
        <v>2</v>
      </c>
      <c r="F28" s="8">
        <f t="shared" ref="F28:X28" si="13">E28+1</f>
        <v>3</v>
      </c>
      <c r="G28" s="8">
        <f t="shared" si="13"/>
        <v>4</v>
      </c>
      <c r="H28" s="8">
        <f t="shared" si="13"/>
        <v>5</v>
      </c>
      <c r="I28" s="8">
        <f t="shared" si="13"/>
        <v>6</v>
      </c>
      <c r="J28" s="8">
        <f t="shared" si="13"/>
        <v>7</v>
      </c>
      <c r="K28" s="8">
        <f t="shared" si="13"/>
        <v>8</v>
      </c>
      <c r="L28" s="8">
        <f t="shared" si="13"/>
        <v>9</v>
      </c>
      <c r="M28" s="8">
        <f t="shared" si="13"/>
        <v>10</v>
      </c>
      <c r="N28" s="8">
        <f t="shared" si="13"/>
        <v>11</v>
      </c>
      <c r="O28" s="8">
        <f t="shared" si="13"/>
        <v>12</v>
      </c>
      <c r="P28" s="8">
        <f t="shared" si="13"/>
        <v>13</v>
      </c>
      <c r="Q28" s="8">
        <f t="shared" si="13"/>
        <v>14</v>
      </c>
      <c r="R28" s="8">
        <f t="shared" si="13"/>
        <v>15</v>
      </c>
      <c r="S28" s="8">
        <f t="shared" si="13"/>
        <v>16</v>
      </c>
      <c r="T28" s="8">
        <f t="shared" si="13"/>
        <v>17</v>
      </c>
      <c r="U28" s="8">
        <f t="shared" si="13"/>
        <v>18</v>
      </c>
      <c r="V28" s="8">
        <f t="shared" si="13"/>
        <v>19</v>
      </c>
      <c r="W28" s="8">
        <f t="shared" si="13"/>
        <v>20</v>
      </c>
      <c r="X28" s="9">
        <f t="shared" si="13"/>
        <v>21</v>
      </c>
      <c r="Y28"/>
      <c r="Z28"/>
      <c r="AA28"/>
      <c r="AB28"/>
    </row>
    <row r="29" spans="1:28" s="10" customFormat="1" x14ac:dyDescent="0.2">
      <c r="C29" s="13" t="s">
        <v>6</v>
      </c>
      <c r="D29" s="33">
        <f>COMBIN($C$28,D28)/COMBIN($C$1,D28)</f>
        <v>0.79166666666666663</v>
      </c>
      <c r="E29" s="15">
        <f>COMBIN($C$28,E28)/COMBIN($C$1,E28)</f>
        <v>0.61956521739130432</v>
      </c>
      <c r="F29" s="15">
        <f>COMBIN($C$28,F28)/COMBIN($C$1,F28)</f>
        <v>0.47875494071146241</v>
      </c>
      <c r="G29" s="15">
        <f>COMBIN($C$28,G28)/COMBIN($C$1,G28)</f>
        <v>0.36476566911349523</v>
      </c>
      <c r="H29" s="15">
        <f>COMBIN($C$28,H28)/COMBIN($C$1,H28)</f>
        <v>0.27357425183512146</v>
      </c>
      <c r="I29" s="15">
        <f>COMBIN($C$28,I28)/COMBIN($C$1,I28)</f>
        <v>0.20158102766798414</v>
      </c>
      <c r="J29" s="15">
        <f>COMBIN($C$28,J28)/COMBIN($C$1,J28)</f>
        <v>0.14558629776021081</v>
      </c>
      <c r="K29" s="15">
        <f>COMBIN($C$28,K28)/COMBIN($C$1,K28)</f>
        <v>0.10276679841897231</v>
      </c>
      <c r="L29" s="15">
        <f>COMBIN($C$28,L28)/COMBIN($C$1,L28)</f>
        <v>7.0652173913043473E-2</v>
      </c>
      <c r="M29" s="15">
        <f>COMBIN($C$28,M28)/COMBIN($C$1,M28)</f>
        <v>4.710144927536232E-2</v>
      </c>
      <c r="N29" s="15">
        <f>COMBIN($C$28,N28)/COMBIN($C$1,N28)</f>
        <v>3.027950310559005E-2</v>
      </c>
      <c r="O29" s="15">
        <f>COMBIN($C$28,O28)/COMBIN($C$1,O28)</f>
        <v>1.8633540372670804E-2</v>
      </c>
      <c r="P29" s="15">
        <f>COMBIN($C$28,P28)/COMBIN($C$1,P28)</f>
        <v>1.0869565217391302E-2</v>
      </c>
      <c r="Q29" s="15">
        <f>COMBIN($C$28,Q28)/COMBIN($C$1,Q28)</f>
        <v>5.9288537549407111E-3</v>
      </c>
      <c r="R29" s="15">
        <f>COMBIN($C$28,R28)/COMBIN($C$1,R28)</f>
        <v>2.9644268774703555E-3</v>
      </c>
      <c r="S29" s="15">
        <f>COMBIN($C$28,S28)/COMBIN($C$1,S28)</f>
        <v>1.3175230566534915E-3</v>
      </c>
      <c r="T29" s="15">
        <f>COMBIN($C$28,T28)/COMBIN($C$1,T28)</f>
        <v>4.9407114624505926E-4</v>
      </c>
      <c r="U29" s="15">
        <f>COMBIN($C$28,U28)/COMBIN($C$1,U28)</f>
        <v>1.4116318464144547E-4</v>
      </c>
      <c r="V29" s="15">
        <f>COMBIN($C$28,V28)/COMBIN($C$1,V28)</f>
        <v>2.3527197440240921E-5</v>
      </c>
      <c r="W29" s="34"/>
      <c r="X29" s="28"/>
      <c r="Y29"/>
      <c r="Z29"/>
      <c r="AA29"/>
      <c r="AB29"/>
    </row>
    <row r="30" spans="1:28" s="10" customFormat="1" x14ac:dyDescent="0.2">
      <c r="C30" s="17" t="s">
        <v>7</v>
      </c>
      <c r="D30" s="35">
        <f>1/D29</f>
        <v>1.2631578947368423</v>
      </c>
      <c r="E30" s="19">
        <f t="shared" ref="E30:V30" si="14">1/E29</f>
        <v>1.6140350877192984</v>
      </c>
      <c r="F30" s="19">
        <f t="shared" si="14"/>
        <v>2.0887512899896801</v>
      </c>
      <c r="G30" s="19">
        <f t="shared" si="14"/>
        <v>2.7414860681114548</v>
      </c>
      <c r="H30" s="19">
        <f t="shared" si="14"/>
        <v>3.6553147574819391</v>
      </c>
      <c r="I30" s="19">
        <f t="shared" si="14"/>
        <v>4.9607843137254912</v>
      </c>
      <c r="J30" s="19">
        <f t="shared" si="14"/>
        <v>6.868778280542986</v>
      </c>
      <c r="K30" s="19">
        <f t="shared" si="14"/>
        <v>9.7307692307692335</v>
      </c>
      <c r="L30" s="19">
        <f t="shared" si="14"/>
        <v>14.153846153846155</v>
      </c>
      <c r="M30" s="19">
        <f t="shared" si="14"/>
        <v>21.23076923076923</v>
      </c>
      <c r="N30" s="19">
        <f t="shared" si="14"/>
        <v>33.025641025641036</v>
      </c>
      <c r="O30" s="19">
        <f t="shared" si="14"/>
        <v>53.666666666666679</v>
      </c>
      <c r="P30" s="19">
        <f t="shared" si="14"/>
        <v>92.000000000000014</v>
      </c>
      <c r="Q30" s="19">
        <f t="shared" si="14"/>
        <v>168.66666666666669</v>
      </c>
      <c r="R30" s="19">
        <f t="shared" si="14"/>
        <v>337.33333333333337</v>
      </c>
      <c r="S30" s="19">
        <f t="shared" si="14"/>
        <v>759</v>
      </c>
      <c r="T30" s="19">
        <f t="shared" si="14"/>
        <v>2024.0000000000002</v>
      </c>
      <c r="U30" s="19">
        <f t="shared" si="14"/>
        <v>7084.0000000000018</v>
      </c>
      <c r="V30" s="19">
        <f t="shared" si="14"/>
        <v>42503.999999999993</v>
      </c>
      <c r="W30" s="19"/>
      <c r="X30" s="29"/>
      <c r="Y30"/>
      <c r="Z30"/>
      <c r="AA30"/>
      <c r="AB30"/>
    </row>
    <row r="31" spans="1:28" s="10" customFormat="1" ht="16" thickBot="1" x14ac:dyDescent="0.25">
      <c r="C31" s="20" t="s">
        <v>8</v>
      </c>
      <c r="D31" s="30">
        <f>$F$1*D30</f>
        <v>1.2505263157894739</v>
      </c>
      <c r="E31" s="31">
        <f t="shared" ref="E31:V31" si="15">$F$1*E30</f>
        <v>1.5978947368421055</v>
      </c>
      <c r="F31" s="31">
        <f t="shared" si="15"/>
        <v>2.0678637770897832</v>
      </c>
      <c r="G31" s="31">
        <f t="shared" si="15"/>
        <v>2.7140712074303401</v>
      </c>
      <c r="H31" s="31">
        <f t="shared" si="15"/>
        <v>3.6187616099071196</v>
      </c>
      <c r="I31" s="31">
        <f t="shared" si="15"/>
        <v>4.9111764705882361</v>
      </c>
      <c r="J31" s="31">
        <f t="shared" si="15"/>
        <v>6.800090497737556</v>
      </c>
      <c r="K31" s="31">
        <f t="shared" si="15"/>
        <v>9.6334615384615407</v>
      </c>
      <c r="L31" s="31">
        <f t="shared" si="15"/>
        <v>14.012307692307694</v>
      </c>
      <c r="M31" s="31">
        <f t="shared" si="15"/>
        <v>21.018461538461537</v>
      </c>
      <c r="N31" s="31">
        <f t="shared" si="15"/>
        <v>32.695384615384626</v>
      </c>
      <c r="O31" s="31">
        <f t="shared" si="15"/>
        <v>53.13000000000001</v>
      </c>
      <c r="P31" s="31">
        <f t="shared" si="15"/>
        <v>91.080000000000013</v>
      </c>
      <c r="Q31" s="31">
        <f t="shared" si="15"/>
        <v>166.98000000000002</v>
      </c>
      <c r="R31" s="31">
        <f t="shared" si="15"/>
        <v>333.96000000000004</v>
      </c>
      <c r="S31" s="31">
        <f t="shared" si="15"/>
        <v>751.41</v>
      </c>
      <c r="T31" s="31">
        <f t="shared" si="15"/>
        <v>2003.7600000000002</v>
      </c>
      <c r="U31" s="31">
        <f t="shared" si="15"/>
        <v>7013.1600000000017</v>
      </c>
      <c r="V31" s="31">
        <f t="shared" si="15"/>
        <v>42078.959999999992</v>
      </c>
      <c r="W31" s="31"/>
      <c r="X31" s="32"/>
      <c r="Y31"/>
      <c r="Z31"/>
      <c r="AA31"/>
      <c r="AB31"/>
    </row>
    <row r="32" spans="1:28" ht="16" thickBot="1" x14ac:dyDescent="0.25"/>
    <row r="33" spans="1:28" s="10" customFormat="1" ht="16" thickBot="1" x14ac:dyDescent="0.25">
      <c r="A33" s="5" t="s">
        <v>13</v>
      </c>
      <c r="B33" s="6" t="s">
        <v>3</v>
      </c>
      <c r="C33" s="7" t="s">
        <v>4</v>
      </c>
      <c r="D33" s="51" t="s">
        <v>5</v>
      </c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3"/>
      <c r="X33"/>
      <c r="Y33"/>
      <c r="Z33"/>
      <c r="AA33"/>
      <c r="AB33"/>
    </row>
    <row r="34" spans="1:28" s="10" customFormat="1" ht="16" thickBot="1" x14ac:dyDescent="0.25">
      <c r="A34" s="11"/>
      <c r="B34" s="7">
        <v>6</v>
      </c>
      <c r="C34" s="12">
        <f>$C$1-B34</f>
        <v>18</v>
      </c>
      <c r="D34" s="6">
        <v>1</v>
      </c>
      <c r="E34" s="8">
        <f>D34+1</f>
        <v>2</v>
      </c>
      <c r="F34" s="8">
        <f t="shared" ref="F34:W34" si="16">E34+1</f>
        <v>3</v>
      </c>
      <c r="G34" s="8">
        <f t="shared" si="16"/>
        <v>4</v>
      </c>
      <c r="H34" s="8">
        <f t="shared" si="16"/>
        <v>5</v>
      </c>
      <c r="I34" s="8">
        <f t="shared" si="16"/>
        <v>6</v>
      </c>
      <c r="J34" s="8">
        <f t="shared" si="16"/>
        <v>7</v>
      </c>
      <c r="K34" s="8">
        <f t="shared" si="16"/>
        <v>8</v>
      </c>
      <c r="L34" s="8">
        <f t="shared" si="16"/>
        <v>9</v>
      </c>
      <c r="M34" s="8">
        <f t="shared" si="16"/>
        <v>10</v>
      </c>
      <c r="N34" s="8">
        <f t="shared" si="16"/>
        <v>11</v>
      </c>
      <c r="O34" s="8">
        <f t="shared" si="16"/>
        <v>12</v>
      </c>
      <c r="P34" s="8">
        <f t="shared" si="16"/>
        <v>13</v>
      </c>
      <c r="Q34" s="8">
        <f t="shared" si="16"/>
        <v>14</v>
      </c>
      <c r="R34" s="8">
        <f t="shared" si="16"/>
        <v>15</v>
      </c>
      <c r="S34" s="8">
        <f t="shared" si="16"/>
        <v>16</v>
      </c>
      <c r="T34" s="8">
        <f t="shared" si="16"/>
        <v>17</v>
      </c>
      <c r="U34" s="8">
        <f t="shared" si="16"/>
        <v>18</v>
      </c>
      <c r="V34" s="8">
        <f t="shared" si="16"/>
        <v>19</v>
      </c>
      <c r="W34" s="9">
        <f t="shared" si="16"/>
        <v>20</v>
      </c>
      <c r="X34"/>
      <c r="Y34"/>
      <c r="Z34"/>
      <c r="AA34"/>
      <c r="AB34"/>
    </row>
    <row r="35" spans="1:28" s="10" customFormat="1" x14ac:dyDescent="0.2">
      <c r="C35" s="13" t="s">
        <v>6</v>
      </c>
      <c r="D35" s="5">
        <f>COMBIN($C$34,D34)/COMBIN($C$1,D34)</f>
        <v>0.75</v>
      </c>
      <c r="E35" s="36">
        <f>COMBIN($C$34,E34)/COMBIN($C$1,E34)</f>
        <v>0.55434782608695654</v>
      </c>
      <c r="F35" s="36">
        <f>COMBIN($C$34,F34)/COMBIN($C$1,F34)</f>
        <v>0.40316205533596833</v>
      </c>
      <c r="G35" s="36">
        <f>COMBIN($C$34,G34)/COMBIN($C$1,G34)</f>
        <v>0.28797289666854886</v>
      </c>
      <c r="H35" s="36">
        <f>COMBIN($C$34,H34)/COMBIN($C$1,H34)</f>
        <v>0.20158102766798422</v>
      </c>
      <c r="I35" s="36">
        <f>COMBIN($C$34,I34)/COMBIN($C$1,I34)</f>
        <v>0.13792386103598919</v>
      </c>
      <c r="J35" s="36">
        <f>COMBIN($C$34,J34)/COMBIN($C$1,J34)</f>
        <v>9.1949240690659448E-2</v>
      </c>
      <c r="K35" s="36">
        <f>COMBIN($C$34,K34)/COMBIN($C$1,K34)</f>
        <v>5.9496567505720827E-2</v>
      </c>
      <c r="L35" s="36">
        <f>COMBIN($C$34,L34)/COMBIN($C$1,L34)</f>
        <v>3.7185354691075506E-2</v>
      </c>
      <c r="M35" s="36">
        <f>COMBIN($C$34,M34)/COMBIN($C$1,M34)</f>
        <v>2.231121281464531E-2</v>
      </c>
      <c r="N35" s="36">
        <f>COMBIN($C$34,N34)/COMBIN($C$1,N34)</f>
        <v>1.2749264465511601E-2</v>
      </c>
      <c r="O35" s="36">
        <f>COMBIN($C$34,O34)/COMBIN($C$1,O34)</f>
        <v>6.8649885583524015E-3</v>
      </c>
      <c r="P35" s="36">
        <f>COMBIN($C$34,P34)/COMBIN($C$1,P34)</f>
        <v>3.4324942791762007E-3</v>
      </c>
      <c r="Q35" s="36">
        <f>COMBIN($C$34,Q34)/COMBIN($C$1,Q34)</f>
        <v>1.5602246723528188E-3</v>
      </c>
      <c r="R35" s="36">
        <f>COMBIN($C$34,R34)/COMBIN($C$1,R34)</f>
        <v>6.2408986894112747E-4</v>
      </c>
      <c r="S35" s="36">
        <f>COMBIN($C$34,S34)/COMBIN($C$1,S34)</f>
        <v>2.0802995631370917E-4</v>
      </c>
      <c r="T35" s="36">
        <f>COMBIN($C$34,T34)/COMBIN($C$1,T34)</f>
        <v>5.2007489078427292E-5</v>
      </c>
      <c r="U35" s="36">
        <f>COMBIN($C$34,U34)/COMBIN($C$1,U34)</f>
        <v>7.4296412969181836E-6</v>
      </c>
      <c r="V35" s="36"/>
      <c r="W35" s="16"/>
      <c r="X35"/>
      <c r="Y35"/>
      <c r="Z35"/>
      <c r="AA35"/>
      <c r="AB35"/>
    </row>
    <row r="36" spans="1:28" s="10" customFormat="1" x14ac:dyDescent="0.2">
      <c r="C36" s="17" t="s">
        <v>7</v>
      </c>
      <c r="D36" s="37">
        <f>1/D35</f>
        <v>1.3333333333333333</v>
      </c>
      <c r="E36" s="10">
        <f t="shared" ref="E36:U36" si="17">1/E35</f>
        <v>1.803921568627451</v>
      </c>
      <c r="F36" s="10">
        <f t="shared" si="17"/>
        <v>2.4803921568627456</v>
      </c>
      <c r="G36" s="10">
        <f t="shared" si="17"/>
        <v>3.4725490196078428</v>
      </c>
      <c r="H36" s="10">
        <f t="shared" si="17"/>
        <v>4.9607843137254894</v>
      </c>
      <c r="I36" s="10">
        <f t="shared" si="17"/>
        <v>7.2503770739064848</v>
      </c>
      <c r="J36" s="10">
        <f t="shared" si="17"/>
        <v>10.875565610859729</v>
      </c>
      <c r="K36" s="10">
        <f t="shared" si="17"/>
        <v>16.807692307692307</v>
      </c>
      <c r="L36" s="10">
        <f t="shared" si="17"/>
        <v>26.8923076923077</v>
      </c>
      <c r="M36" s="10">
        <f t="shared" si="17"/>
        <v>44.820512820512818</v>
      </c>
      <c r="N36" s="10">
        <f t="shared" si="17"/>
        <v>78.435897435897459</v>
      </c>
      <c r="O36" s="10">
        <f t="shared" si="17"/>
        <v>145.66666666666669</v>
      </c>
      <c r="P36" s="10">
        <f t="shared" si="17"/>
        <v>291.33333333333337</v>
      </c>
      <c r="Q36" s="10">
        <f t="shared" si="17"/>
        <v>640.93333333333328</v>
      </c>
      <c r="R36" s="10">
        <f t="shared" si="17"/>
        <v>1602.3333333333335</v>
      </c>
      <c r="S36" s="10">
        <f t="shared" si="17"/>
        <v>4807</v>
      </c>
      <c r="T36" s="10">
        <f t="shared" si="17"/>
        <v>19228</v>
      </c>
      <c r="U36" s="10">
        <f t="shared" si="17"/>
        <v>134596.00000000003</v>
      </c>
      <c r="W36" s="12"/>
      <c r="X36"/>
      <c r="Y36"/>
      <c r="Z36"/>
      <c r="AA36"/>
      <c r="AB36"/>
    </row>
    <row r="37" spans="1:28" s="10" customFormat="1" ht="16" thickBot="1" x14ac:dyDescent="0.25">
      <c r="C37" s="20" t="s">
        <v>8</v>
      </c>
      <c r="D37" s="11">
        <f>$F$1*D36</f>
        <v>1.3199999999999998</v>
      </c>
      <c r="E37" s="38">
        <f t="shared" ref="E37:U37" si="18">$F$1*E36</f>
        <v>1.7858823529411765</v>
      </c>
      <c r="F37" s="38">
        <f t="shared" si="18"/>
        <v>2.4555882352941181</v>
      </c>
      <c r="G37" s="38">
        <f t="shared" si="18"/>
        <v>3.4378235294117645</v>
      </c>
      <c r="H37" s="38">
        <f t="shared" si="18"/>
        <v>4.9111764705882344</v>
      </c>
      <c r="I37" s="38">
        <f t="shared" si="18"/>
        <v>7.17787330316742</v>
      </c>
      <c r="J37" s="38">
        <f t="shared" si="18"/>
        <v>10.766809954751132</v>
      </c>
      <c r="K37" s="38">
        <f t="shared" si="18"/>
        <v>16.639615384615382</v>
      </c>
      <c r="L37" s="38">
        <f t="shared" si="18"/>
        <v>26.623384615384623</v>
      </c>
      <c r="M37" s="38">
        <f t="shared" si="18"/>
        <v>44.372307692307686</v>
      </c>
      <c r="N37" s="38">
        <f t="shared" si="18"/>
        <v>77.651538461538479</v>
      </c>
      <c r="O37" s="38">
        <f t="shared" si="18"/>
        <v>144.21</v>
      </c>
      <c r="P37" s="38">
        <f t="shared" si="18"/>
        <v>288.42</v>
      </c>
      <c r="Q37" s="38">
        <f t="shared" si="18"/>
        <v>634.52399999999989</v>
      </c>
      <c r="R37" s="38">
        <f t="shared" si="18"/>
        <v>1586.3100000000002</v>
      </c>
      <c r="S37" s="38">
        <f t="shared" si="18"/>
        <v>4758.93</v>
      </c>
      <c r="T37" s="38">
        <f t="shared" si="18"/>
        <v>19035.72</v>
      </c>
      <c r="U37" s="38">
        <f t="shared" si="18"/>
        <v>133250.04000000004</v>
      </c>
      <c r="V37" s="38"/>
      <c r="W37" s="23"/>
      <c r="X37"/>
      <c r="Y37"/>
      <c r="Z37"/>
      <c r="AA37"/>
      <c r="AB37"/>
    </row>
    <row r="38" spans="1:28" ht="16" thickBot="1" x14ac:dyDescent="0.25"/>
    <row r="39" spans="1:28" s="10" customFormat="1" ht="16" thickBot="1" x14ac:dyDescent="0.25">
      <c r="A39" s="5" t="s">
        <v>14</v>
      </c>
      <c r="B39" s="6" t="s">
        <v>3</v>
      </c>
      <c r="C39" s="7" t="s">
        <v>4</v>
      </c>
      <c r="D39" s="51" t="s">
        <v>5</v>
      </c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3"/>
      <c r="W39"/>
      <c r="X39"/>
      <c r="Y39"/>
      <c r="Z39"/>
      <c r="AA39"/>
      <c r="AB39"/>
    </row>
    <row r="40" spans="1:28" s="10" customFormat="1" ht="16" thickBot="1" x14ac:dyDescent="0.25">
      <c r="A40" s="11"/>
      <c r="B40" s="7">
        <v>7</v>
      </c>
      <c r="C40" s="12">
        <f>$C$1-B40</f>
        <v>17</v>
      </c>
      <c r="D40" s="6">
        <v>1</v>
      </c>
      <c r="E40" s="8">
        <f>D40+1</f>
        <v>2</v>
      </c>
      <c r="F40" s="8">
        <f t="shared" ref="F40:V40" si="19">E40+1</f>
        <v>3</v>
      </c>
      <c r="G40" s="8">
        <f t="shared" si="19"/>
        <v>4</v>
      </c>
      <c r="H40" s="8">
        <f t="shared" si="19"/>
        <v>5</v>
      </c>
      <c r="I40" s="8">
        <f t="shared" si="19"/>
        <v>6</v>
      </c>
      <c r="J40" s="8">
        <f t="shared" si="19"/>
        <v>7</v>
      </c>
      <c r="K40" s="8">
        <f t="shared" si="19"/>
        <v>8</v>
      </c>
      <c r="L40" s="8">
        <f t="shared" si="19"/>
        <v>9</v>
      </c>
      <c r="M40" s="8">
        <f t="shared" si="19"/>
        <v>10</v>
      </c>
      <c r="N40" s="8">
        <f t="shared" si="19"/>
        <v>11</v>
      </c>
      <c r="O40" s="8">
        <f t="shared" si="19"/>
        <v>12</v>
      </c>
      <c r="P40" s="8">
        <f t="shared" si="19"/>
        <v>13</v>
      </c>
      <c r="Q40" s="8">
        <f t="shared" si="19"/>
        <v>14</v>
      </c>
      <c r="R40" s="8">
        <f t="shared" si="19"/>
        <v>15</v>
      </c>
      <c r="S40" s="8">
        <f t="shared" si="19"/>
        <v>16</v>
      </c>
      <c r="T40" s="8">
        <f t="shared" si="19"/>
        <v>17</v>
      </c>
      <c r="U40" s="8">
        <f t="shared" si="19"/>
        <v>18</v>
      </c>
      <c r="V40" s="9">
        <f t="shared" si="19"/>
        <v>19</v>
      </c>
      <c r="W40"/>
      <c r="X40"/>
      <c r="Y40"/>
      <c r="Z40"/>
      <c r="AA40"/>
      <c r="AB40"/>
    </row>
    <row r="41" spans="1:28" s="10" customFormat="1" x14ac:dyDescent="0.2">
      <c r="C41" s="13" t="s">
        <v>6</v>
      </c>
      <c r="D41" s="5">
        <f>COMBIN($C$40,D40)/COMBIN($C$1,D40)</f>
        <v>0.70833333333333337</v>
      </c>
      <c r="E41" s="34">
        <f>COMBIN($C$40,E40)/COMBIN($C$1,E40)</f>
        <v>0.49275362318840582</v>
      </c>
      <c r="F41" s="34">
        <f>COMBIN($C$40,F40)/COMBIN($C$1,F40)</f>
        <v>0.33596837944664026</v>
      </c>
      <c r="G41" s="34">
        <f>COMBIN($C$40,G40)/COMBIN($C$1,G40)</f>
        <v>0.22397891963109354</v>
      </c>
      <c r="H41" s="34">
        <f>COMBIN($C$40,H40)/COMBIN($C$1,H40)</f>
        <v>0.14558629776021084</v>
      </c>
      <c r="I41" s="34">
        <f>COMBIN($C$40,I40)/COMBIN($C$1,I40)</f>
        <v>9.1949240690659434E-2</v>
      </c>
      <c r="J41" s="34">
        <f>COMBIN($C$40,J40)/COMBIN($C$1,J40)</f>
        <v>5.6191202644291886E-2</v>
      </c>
      <c r="K41" s="34">
        <f>COMBIN($C$40,K40)/COMBIN($C$1,K40)</f>
        <v>3.3053648614289347E-2</v>
      </c>
      <c r="L41" s="34">
        <f>COMBIN($C$40,L40)/COMBIN($C$1,L40)</f>
        <v>1.8592677345537757E-2</v>
      </c>
      <c r="M41" s="34">
        <f>COMBIN($C$40,M40)/COMBIN($C$1,M40)</f>
        <v>9.9160945842868033E-3</v>
      </c>
      <c r="N41" s="34">
        <f>COMBIN($C$40,N40)/COMBIN($C$1,N40)</f>
        <v>4.9580472921434008E-3</v>
      </c>
      <c r="O41" s="34">
        <f>COMBIN($C$40,O40)/COMBIN($C$1,O40)</f>
        <v>2.2883295194508005E-3</v>
      </c>
      <c r="P41" s="34">
        <f>COMBIN($C$40,P40)/COMBIN($C$1,P40)</f>
        <v>9.5347063310450024E-4</v>
      </c>
      <c r="Q41" s="34">
        <f>COMBIN($C$40,Q40)/COMBIN($C$1,Q40)</f>
        <v>3.4671659385618195E-4</v>
      </c>
      <c r="R41" s="34">
        <f>COMBIN($C$40,R40)/COMBIN($C$1,R40)</f>
        <v>1.0401497815685458E-4</v>
      </c>
      <c r="S41" s="34">
        <f>COMBIN($C$40,S40)/COMBIN($C$1,S40)</f>
        <v>2.3114439590412129E-5</v>
      </c>
      <c r="T41" s="34">
        <f>COMBIN($C$40,T40)/COMBIN($C$1,T40)</f>
        <v>2.8893049488015161E-6</v>
      </c>
      <c r="U41" s="34"/>
      <c r="V41" s="39"/>
      <c r="W41"/>
      <c r="X41"/>
      <c r="Y41"/>
      <c r="Z41"/>
      <c r="AA41"/>
      <c r="AB41"/>
    </row>
    <row r="42" spans="1:28" s="10" customFormat="1" x14ac:dyDescent="0.2">
      <c r="C42" s="17" t="s">
        <v>7</v>
      </c>
      <c r="D42" s="40">
        <f>1/D41</f>
        <v>1.4117647058823528</v>
      </c>
      <c r="E42" s="41">
        <f t="shared" ref="E42:T42" si="20">1/E41</f>
        <v>2.0294117647058822</v>
      </c>
      <c r="F42" s="41">
        <f t="shared" si="20"/>
        <v>2.9764705882352946</v>
      </c>
      <c r="G42" s="41">
        <f t="shared" si="20"/>
        <v>4.4647058823529413</v>
      </c>
      <c r="H42" s="41">
        <f t="shared" si="20"/>
        <v>6.8687782805429842</v>
      </c>
      <c r="I42" s="41">
        <f t="shared" si="20"/>
        <v>10.875565610859731</v>
      </c>
      <c r="J42" s="41">
        <f t="shared" si="20"/>
        <v>17.796380090497738</v>
      </c>
      <c r="K42" s="41">
        <f t="shared" si="20"/>
        <v>30.253846153846155</v>
      </c>
      <c r="L42" s="41">
        <f t="shared" si="20"/>
        <v>53.784615384615385</v>
      </c>
      <c r="M42" s="41">
        <f t="shared" si="20"/>
        <v>100.84615384615385</v>
      </c>
      <c r="N42" s="41">
        <f t="shared" si="20"/>
        <v>201.69230769230774</v>
      </c>
      <c r="O42" s="41">
        <f t="shared" si="20"/>
        <v>437.00000000000006</v>
      </c>
      <c r="P42" s="41">
        <f t="shared" si="20"/>
        <v>1048.8000000000002</v>
      </c>
      <c r="Q42" s="41">
        <f t="shared" si="20"/>
        <v>2884.2</v>
      </c>
      <c r="R42" s="41">
        <f t="shared" si="20"/>
        <v>9614</v>
      </c>
      <c r="S42" s="41">
        <f t="shared" si="20"/>
        <v>43263</v>
      </c>
      <c r="T42" s="41">
        <f t="shared" si="20"/>
        <v>346104</v>
      </c>
      <c r="U42" s="41"/>
      <c r="V42" s="42"/>
      <c r="W42"/>
      <c r="X42"/>
      <c r="Y42"/>
      <c r="Z42"/>
      <c r="AA42"/>
      <c r="AB42"/>
    </row>
    <row r="43" spans="1:28" s="10" customFormat="1" ht="16" thickBot="1" x14ac:dyDescent="0.25">
      <c r="C43" s="20" t="s">
        <v>8</v>
      </c>
      <c r="D43" s="11">
        <f>$F$1*D42</f>
        <v>1.3976470588235292</v>
      </c>
      <c r="E43" s="31">
        <f t="shared" ref="E43:T43" si="21">$F$1*E42</f>
        <v>2.0091176470588232</v>
      </c>
      <c r="F43" s="31">
        <f t="shared" si="21"/>
        <v>2.9467058823529415</v>
      </c>
      <c r="G43" s="31">
        <f t="shared" si="21"/>
        <v>4.4200588235294118</v>
      </c>
      <c r="H43" s="31">
        <f t="shared" si="21"/>
        <v>6.8000904977375543</v>
      </c>
      <c r="I43" s="31">
        <f t="shared" si="21"/>
        <v>10.766809954751134</v>
      </c>
      <c r="J43" s="31">
        <f t="shared" si="21"/>
        <v>17.618416289592762</v>
      </c>
      <c r="K43" s="31">
        <f t="shared" si="21"/>
        <v>29.951307692307694</v>
      </c>
      <c r="L43" s="31">
        <f t="shared" si="21"/>
        <v>53.246769230769232</v>
      </c>
      <c r="M43" s="31">
        <f t="shared" si="21"/>
        <v>99.837692307692308</v>
      </c>
      <c r="N43" s="31">
        <f t="shared" si="21"/>
        <v>199.67538461538464</v>
      </c>
      <c r="O43" s="31">
        <f t="shared" si="21"/>
        <v>432.63000000000005</v>
      </c>
      <c r="P43" s="31">
        <f t="shared" si="21"/>
        <v>1038.3120000000001</v>
      </c>
      <c r="Q43" s="31">
        <f t="shared" si="21"/>
        <v>2855.3579999999997</v>
      </c>
      <c r="R43" s="31">
        <f t="shared" si="21"/>
        <v>9517.86</v>
      </c>
      <c r="S43" s="31">
        <f t="shared" si="21"/>
        <v>42830.37</v>
      </c>
      <c r="T43" s="31">
        <f t="shared" si="21"/>
        <v>342642.96</v>
      </c>
      <c r="U43" s="31"/>
      <c r="V43" s="43"/>
      <c r="W43"/>
      <c r="X43"/>
      <c r="Y43"/>
      <c r="Z43"/>
      <c r="AA43"/>
      <c r="AB43"/>
    </row>
    <row r="44" spans="1:28" ht="16" thickBot="1" x14ac:dyDescent="0.25"/>
    <row r="45" spans="1:28" s="10" customFormat="1" ht="16" thickBot="1" x14ac:dyDescent="0.25">
      <c r="A45" s="5" t="s">
        <v>15</v>
      </c>
      <c r="B45" s="6" t="s">
        <v>3</v>
      </c>
      <c r="C45" s="7" t="s">
        <v>4</v>
      </c>
      <c r="D45" s="51" t="s">
        <v>5</v>
      </c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3"/>
      <c r="V45"/>
      <c r="W45"/>
      <c r="X45"/>
      <c r="Y45"/>
      <c r="Z45"/>
      <c r="AA45"/>
      <c r="AB45"/>
    </row>
    <row r="46" spans="1:28" s="10" customFormat="1" ht="16" thickBot="1" x14ac:dyDescent="0.25">
      <c r="A46" s="11"/>
      <c r="B46" s="7">
        <v>8</v>
      </c>
      <c r="C46" s="12">
        <f>$C$1-B46</f>
        <v>16</v>
      </c>
      <c r="D46" s="6">
        <v>1</v>
      </c>
      <c r="E46" s="8">
        <f>D46+1</f>
        <v>2</v>
      </c>
      <c r="F46" s="8">
        <f t="shared" ref="F46:U46" si="22">E46+1</f>
        <v>3</v>
      </c>
      <c r="G46" s="8">
        <f t="shared" si="22"/>
        <v>4</v>
      </c>
      <c r="H46" s="8">
        <f t="shared" si="22"/>
        <v>5</v>
      </c>
      <c r="I46" s="8">
        <f t="shared" si="22"/>
        <v>6</v>
      </c>
      <c r="J46" s="8">
        <f t="shared" si="22"/>
        <v>7</v>
      </c>
      <c r="K46" s="8">
        <f t="shared" si="22"/>
        <v>8</v>
      </c>
      <c r="L46" s="8">
        <f t="shared" si="22"/>
        <v>9</v>
      </c>
      <c r="M46" s="8">
        <f t="shared" si="22"/>
        <v>10</v>
      </c>
      <c r="N46" s="8">
        <f t="shared" si="22"/>
        <v>11</v>
      </c>
      <c r="O46" s="8">
        <f t="shared" si="22"/>
        <v>12</v>
      </c>
      <c r="P46" s="8">
        <f t="shared" si="22"/>
        <v>13</v>
      </c>
      <c r="Q46" s="8">
        <f t="shared" si="22"/>
        <v>14</v>
      </c>
      <c r="R46" s="8">
        <f t="shared" si="22"/>
        <v>15</v>
      </c>
      <c r="S46" s="8">
        <f t="shared" si="22"/>
        <v>16</v>
      </c>
      <c r="T46" s="8">
        <f t="shared" si="22"/>
        <v>17</v>
      </c>
      <c r="U46" s="9">
        <f t="shared" si="22"/>
        <v>18</v>
      </c>
      <c r="V46"/>
      <c r="W46"/>
      <c r="X46"/>
      <c r="Y46"/>
      <c r="Z46"/>
      <c r="AA46"/>
      <c r="AB46"/>
    </row>
    <row r="47" spans="1:28" s="10" customFormat="1" x14ac:dyDescent="0.2">
      <c r="C47" s="13" t="s">
        <v>6</v>
      </c>
      <c r="D47" s="37">
        <f>COMBIN($C$46,D46)/COMBIN($C$1,D46)</f>
        <v>0.66666666666666663</v>
      </c>
      <c r="E47" s="10">
        <f>COMBIN($C$46,E46)/COMBIN($C$1,E46)</f>
        <v>0.43478260869565216</v>
      </c>
      <c r="F47" s="10">
        <f>COMBIN($C$46,F46)/COMBIN($C$1,F46)</f>
        <v>0.27667984189723316</v>
      </c>
      <c r="G47" s="10">
        <f>COMBIN($C$46,G46)/COMBIN($C$1,G46)</f>
        <v>0.17127799736495392</v>
      </c>
      <c r="H47" s="10">
        <f>COMBIN($C$46,H46)/COMBIN($C$1,H46)</f>
        <v>0.10276679841897235</v>
      </c>
      <c r="I47" s="10">
        <f>COMBIN($C$46,I46)/COMBIN($C$1,I46)</f>
        <v>5.9496567505720813E-2</v>
      </c>
      <c r="J47" s="10">
        <f>COMBIN($C$46,J46)/COMBIN($C$1,J46)</f>
        <v>3.3053648614289347E-2</v>
      </c>
      <c r="K47" s="10">
        <f>COMBIN($C$46,K46)/COMBIN($C$1,K46)</f>
        <v>1.7498990442859064E-2</v>
      </c>
      <c r="L47" s="10">
        <f>COMBIN($C$46,L46)/COMBIN($C$1,L46)</f>
        <v>8.7494952214295322E-3</v>
      </c>
      <c r="M47" s="10">
        <f>COMBIN($C$46,M46)/COMBIN($C$1,M46)</f>
        <v>4.0830977700004488E-3</v>
      </c>
      <c r="N47" s="10">
        <f>COMBIN($C$46,N46)/COMBIN($C$1,N46)</f>
        <v>1.7498990442859062E-3</v>
      </c>
      <c r="O47" s="10">
        <f>COMBIN($C$46,O46)/COMBIN($C$1,O46)</f>
        <v>6.7303809395611778E-4</v>
      </c>
      <c r="P47" s="10">
        <f>COMBIN($C$46,P46)/COMBIN($C$1,P46)</f>
        <v>2.2434603131870593E-4</v>
      </c>
      <c r="Q47" s="10">
        <f>COMBIN($C$46,Q46)/COMBIN($C$1,Q46)</f>
        <v>6.1185281268737987E-5</v>
      </c>
      <c r="R47" s="10">
        <f>COMBIN($C$46,R46)/COMBIN($C$1,R46)</f>
        <v>1.2237056253747598E-5</v>
      </c>
      <c r="S47" s="10">
        <f>COMBIN($C$46,S46)/COMBIN($C$1,S46)</f>
        <v>1.3596729170830664E-6</v>
      </c>
      <c r="U47" s="12"/>
      <c r="V47"/>
      <c r="W47"/>
      <c r="X47"/>
      <c r="Y47"/>
      <c r="Z47"/>
      <c r="AA47"/>
      <c r="AB47"/>
    </row>
    <row r="48" spans="1:28" s="10" customFormat="1" x14ac:dyDescent="0.2">
      <c r="C48" s="17" t="s">
        <v>7</v>
      </c>
      <c r="D48" s="37">
        <f>1/D47</f>
        <v>1.5</v>
      </c>
      <c r="E48" s="10">
        <f t="shared" ref="E48:S48" si="23">1/E47</f>
        <v>2.3000000000000003</v>
      </c>
      <c r="F48" s="10">
        <f t="shared" si="23"/>
        <v>3.6142857142857148</v>
      </c>
      <c r="G48" s="10">
        <f t="shared" si="23"/>
        <v>5.8384615384615373</v>
      </c>
      <c r="H48" s="10">
        <f t="shared" si="23"/>
        <v>9.7307692307692299</v>
      </c>
      <c r="I48" s="10">
        <f t="shared" si="23"/>
        <v>16.80769230769231</v>
      </c>
      <c r="J48" s="10">
        <f t="shared" si="23"/>
        <v>30.253846153846155</v>
      </c>
      <c r="K48" s="10">
        <f t="shared" si="23"/>
        <v>57.146153846153851</v>
      </c>
      <c r="L48" s="10">
        <f t="shared" si="23"/>
        <v>114.2923076923077</v>
      </c>
      <c r="M48" s="10">
        <f t="shared" si="23"/>
        <v>244.91208791208791</v>
      </c>
      <c r="N48" s="10">
        <f t="shared" si="23"/>
        <v>571.46153846153857</v>
      </c>
      <c r="O48" s="10">
        <f t="shared" si="23"/>
        <v>1485.8000000000004</v>
      </c>
      <c r="P48" s="10">
        <f t="shared" si="23"/>
        <v>4457.4000000000005</v>
      </c>
      <c r="Q48" s="10">
        <f t="shared" si="23"/>
        <v>16343.800000000001</v>
      </c>
      <c r="R48" s="10">
        <f t="shared" si="23"/>
        <v>81719</v>
      </c>
      <c r="S48" s="10">
        <f t="shared" si="23"/>
        <v>735471</v>
      </c>
      <c r="U48" s="12"/>
      <c r="V48"/>
      <c r="W48"/>
      <c r="X48"/>
      <c r="Y48"/>
      <c r="Z48"/>
      <c r="AA48"/>
      <c r="AB48"/>
    </row>
    <row r="49" spans="1:28" s="10" customFormat="1" ht="16" thickBot="1" x14ac:dyDescent="0.25">
      <c r="C49" s="20" t="s">
        <v>8</v>
      </c>
      <c r="D49" s="30">
        <f>$F$1*D48</f>
        <v>1.4849999999999999</v>
      </c>
      <c r="E49" s="31">
        <f t="shared" ref="E49:S49" si="24">$F$1*E48</f>
        <v>2.2770000000000001</v>
      </c>
      <c r="F49" s="31">
        <f t="shared" si="24"/>
        <v>3.5781428571428577</v>
      </c>
      <c r="G49" s="31">
        <f t="shared" si="24"/>
        <v>5.7800769230769218</v>
      </c>
      <c r="H49" s="31">
        <f t="shared" si="24"/>
        <v>9.6334615384615372</v>
      </c>
      <c r="I49" s="31">
        <f t="shared" si="24"/>
        <v>16.639615384615386</v>
      </c>
      <c r="J49" s="31">
        <f t="shared" si="24"/>
        <v>29.951307692307694</v>
      </c>
      <c r="K49" s="31">
        <f t="shared" si="24"/>
        <v>56.57469230769231</v>
      </c>
      <c r="L49" s="31">
        <f t="shared" si="24"/>
        <v>113.14938461538462</v>
      </c>
      <c r="M49" s="31">
        <f t="shared" si="24"/>
        <v>242.46296703296704</v>
      </c>
      <c r="N49" s="31">
        <f t="shared" si="24"/>
        <v>565.74692307692317</v>
      </c>
      <c r="O49" s="31">
        <f t="shared" si="24"/>
        <v>1470.9420000000005</v>
      </c>
      <c r="P49" s="31">
        <f t="shared" si="24"/>
        <v>4412.8260000000009</v>
      </c>
      <c r="Q49" s="31">
        <f t="shared" si="24"/>
        <v>16180.362000000001</v>
      </c>
      <c r="R49" s="31">
        <f t="shared" si="24"/>
        <v>80901.81</v>
      </c>
      <c r="S49" s="31">
        <f t="shared" si="24"/>
        <v>728116.29</v>
      </c>
      <c r="T49" s="31"/>
      <c r="U49" s="23"/>
      <c r="V49"/>
      <c r="W49"/>
      <c r="X49"/>
      <c r="Y49"/>
      <c r="Z49"/>
      <c r="AA49"/>
      <c r="AB49"/>
    </row>
    <row r="50" spans="1:28" ht="16" thickBot="1" x14ac:dyDescent="0.25"/>
    <row r="51" spans="1:28" s="10" customFormat="1" ht="16" thickBot="1" x14ac:dyDescent="0.25">
      <c r="A51" s="5" t="s">
        <v>16</v>
      </c>
      <c r="B51" s="6" t="s">
        <v>3</v>
      </c>
      <c r="C51" s="7" t="s">
        <v>4</v>
      </c>
      <c r="D51" s="51" t="s">
        <v>5</v>
      </c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3"/>
      <c r="U51"/>
      <c r="V51"/>
      <c r="W51"/>
      <c r="X51"/>
      <c r="Y51"/>
      <c r="Z51"/>
      <c r="AA51"/>
      <c r="AB51"/>
    </row>
    <row r="52" spans="1:28" s="10" customFormat="1" ht="16" thickBot="1" x14ac:dyDescent="0.25">
      <c r="A52" s="11"/>
      <c r="B52" s="7">
        <v>9</v>
      </c>
      <c r="C52" s="12">
        <f>$C$1-B52</f>
        <v>15</v>
      </c>
      <c r="D52" s="6">
        <v>1</v>
      </c>
      <c r="E52" s="8">
        <f>D52+1</f>
        <v>2</v>
      </c>
      <c r="F52" s="8">
        <f t="shared" ref="F52:T52" si="25">E52+1</f>
        <v>3</v>
      </c>
      <c r="G52" s="8">
        <f t="shared" si="25"/>
        <v>4</v>
      </c>
      <c r="H52" s="8">
        <f t="shared" si="25"/>
        <v>5</v>
      </c>
      <c r="I52" s="8">
        <f t="shared" si="25"/>
        <v>6</v>
      </c>
      <c r="J52" s="8">
        <f t="shared" si="25"/>
        <v>7</v>
      </c>
      <c r="K52" s="8">
        <f t="shared" si="25"/>
        <v>8</v>
      </c>
      <c r="L52" s="8">
        <f t="shared" si="25"/>
        <v>9</v>
      </c>
      <c r="M52" s="8">
        <f t="shared" si="25"/>
        <v>10</v>
      </c>
      <c r="N52" s="8">
        <f t="shared" si="25"/>
        <v>11</v>
      </c>
      <c r="O52" s="8">
        <f t="shared" si="25"/>
        <v>12</v>
      </c>
      <c r="P52" s="8">
        <f t="shared" si="25"/>
        <v>13</v>
      </c>
      <c r="Q52" s="8">
        <f t="shared" si="25"/>
        <v>14</v>
      </c>
      <c r="R52" s="8">
        <f t="shared" si="25"/>
        <v>15</v>
      </c>
      <c r="S52" s="8">
        <f t="shared" si="25"/>
        <v>16</v>
      </c>
      <c r="T52" s="9">
        <f t="shared" si="25"/>
        <v>17</v>
      </c>
      <c r="U52"/>
      <c r="V52"/>
      <c r="W52"/>
      <c r="X52"/>
      <c r="Y52"/>
      <c r="Z52"/>
      <c r="AA52"/>
      <c r="AB52"/>
    </row>
    <row r="53" spans="1:28" s="10" customFormat="1" x14ac:dyDescent="0.2">
      <c r="C53" s="13" t="s">
        <v>6</v>
      </c>
      <c r="D53" s="37">
        <f>COMBIN($C$52,D52)/COMBIN($C$1,D52)</f>
        <v>0.625</v>
      </c>
      <c r="E53" s="36">
        <f>COMBIN($C$52,E52)/COMBIN($C$1,E52)</f>
        <v>0.38043478260869568</v>
      </c>
      <c r="F53" s="36">
        <f>COMBIN($C$52,F52)/COMBIN($C$1,F52)</f>
        <v>0.22480237154150198</v>
      </c>
      <c r="G53" s="36">
        <f>COMBIN($C$52,G52)/COMBIN($C$1,G52)</f>
        <v>0.12845849802371542</v>
      </c>
      <c r="H53" s="36">
        <f>COMBIN($C$52,H52)/COMBIN($C$1,H52)</f>
        <v>7.0652173913043487E-2</v>
      </c>
      <c r="I53" s="36">
        <f>COMBIN($C$52,I52)/COMBIN($C$1,I52)</f>
        <v>3.7185354691075506E-2</v>
      </c>
      <c r="J53" s="36">
        <f>COMBIN($C$52,J52)/COMBIN($C$1,J52)</f>
        <v>1.8592677345537753E-2</v>
      </c>
      <c r="K53" s="36">
        <f>COMBIN($C$52,K52)/COMBIN($C$1,K52)</f>
        <v>8.7494952214295322E-3</v>
      </c>
      <c r="L53" s="36">
        <f>COMBIN($C$52,L52)/COMBIN($C$1,L52)</f>
        <v>3.8279041593754204E-3</v>
      </c>
      <c r="M53" s="36">
        <f>COMBIN($C$52,M52)/COMBIN($C$1,M52)</f>
        <v>1.5311616637501682E-3</v>
      </c>
      <c r="N53" s="36">
        <f>COMBIN($C$52,N52)/COMBIN($C$1,N52)</f>
        <v>5.4684345133934565E-4</v>
      </c>
      <c r="O53" s="36">
        <f>COMBIN($C$52,O52)/COMBIN($C$1,O52)</f>
        <v>1.6825952348902944E-4</v>
      </c>
      <c r="P53" s="36">
        <f>COMBIN($C$52,P52)/COMBIN($C$1,P52)</f>
        <v>4.2064880872257361E-5</v>
      </c>
      <c r="Q53" s="36">
        <f>COMBIN($C$52,Q52)/COMBIN($C$1,Q52)</f>
        <v>7.6481601585922484E-6</v>
      </c>
      <c r="R53" s="36">
        <f>COMBIN($C$52,R52)/COMBIN($C$1,R52)</f>
        <v>7.6481601585922486E-7</v>
      </c>
      <c r="S53" s="36"/>
      <c r="T53" s="16"/>
      <c r="U53"/>
      <c r="V53"/>
      <c r="W53"/>
      <c r="X53"/>
      <c r="Y53"/>
      <c r="Z53"/>
      <c r="AA53"/>
      <c r="AB53"/>
    </row>
    <row r="54" spans="1:28" s="10" customFormat="1" x14ac:dyDescent="0.2">
      <c r="C54" s="17" t="s">
        <v>7</v>
      </c>
      <c r="D54" s="37">
        <f>1/D53</f>
        <v>1.6</v>
      </c>
      <c r="E54" s="10">
        <f t="shared" ref="E54:R54" si="26">1/E53</f>
        <v>2.6285714285714286</v>
      </c>
      <c r="F54" s="10">
        <f t="shared" si="26"/>
        <v>4.4483516483516485</v>
      </c>
      <c r="G54" s="10">
        <f t="shared" si="26"/>
        <v>7.7846153846153845</v>
      </c>
      <c r="H54" s="10">
        <f t="shared" si="26"/>
        <v>14.153846153846152</v>
      </c>
      <c r="I54" s="10">
        <f t="shared" si="26"/>
        <v>26.8923076923077</v>
      </c>
      <c r="J54" s="10">
        <f t="shared" si="26"/>
        <v>53.7846153846154</v>
      </c>
      <c r="K54" s="10">
        <f t="shared" si="26"/>
        <v>114.2923076923077</v>
      </c>
      <c r="L54" s="10">
        <f t="shared" si="26"/>
        <v>261.23956043956048</v>
      </c>
      <c r="M54" s="10">
        <f t="shared" si="26"/>
        <v>653.09890109890114</v>
      </c>
      <c r="N54" s="10">
        <f t="shared" si="26"/>
        <v>1828.6769230769237</v>
      </c>
      <c r="O54" s="10">
        <f t="shared" si="26"/>
        <v>5943.2000000000016</v>
      </c>
      <c r="P54" s="10">
        <f t="shared" si="26"/>
        <v>23772.800000000007</v>
      </c>
      <c r="Q54" s="10">
        <f t="shared" si="26"/>
        <v>130750.40000000001</v>
      </c>
      <c r="R54" s="10">
        <f t="shared" si="26"/>
        <v>1307504</v>
      </c>
      <c r="T54" s="12"/>
      <c r="U54"/>
      <c r="V54"/>
      <c r="W54"/>
      <c r="X54"/>
      <c r="Y54"/>
      <c r="Z54"/>
      <c r="AA54"/>
      <c r="AB54"/>
    </row>
    <row r="55" spans="1:28" s="10" customFormat="1" ht="16" thickBot="1" x14ac:dyDescent="0.25">
      <c r="C55" s="20" t="s">
        <v>8</v>
      </c>
      <c r="D55" s="11">
        <f>$F$1*D54</f>
        <v>1.5840000000000001</v>
      </c>
      <c r="E55" s="38">
        <f t="shared" ref="E55:R55" si="27">$F$1*E54</f>
        <v>2.6022857142857143</v>
      </c>
      <c r="F55" s="22">
        <f t="shared" si="27"/>
        <v>4.4038681318681316</v>
      </c>
      <c r="G55" s="22">
        <f t="shared" si="27"/>
        <v>7.7067692307692308</v>
      </c>
      <c r="H55" s="22">
        <f t="shared" si="27"/>
        <v>14.01230769230769</v>
      </c>
      <c r="I55" s="22">
        <f t="shared" si="27"/>
        <v>26.623384615384623</v>
      </c>
      <c r="J55" s="22">
        <f t="shared" si="27"/>
        <v>53.246769230769246</v>
      </c>
      <c r="K55" s="22">
        <f t="shared" si="27"/>
        <v>113.14938461538462</v>
      </c>
      <c r="L55" s="22">
        <f t="shared" si="27"/>
        <v>258.62716483516488</v>
      </c>
      <c r="M55" s="22">
        <f t="shared" si="27"/>
        <v>646.56791208791208</v>
      </c>
      <c r="N55" s="22">
        <f t="shared" si="27"/>
        <v>1810.3901538461544</v>
      </c>
      <c r="O55" s="22">
        <f t="shared" si="27"/>
        <v>5883.7680000000018</v>
      </c>
      <c r="P55" s="22">
        <f t="shared" si="27"/>
        <v>23535.072000000007</v>
      </c>
      <c r="Q55" s="22">
        <f t="shared" si="27"/>
        <v>129442.89600000001</v>
      </c>
      <c r="R55" s="22">
        <f t="shared" si="27"/>
        <v>1294428.96</v>
      </c>
      <c r="S55" s="22"/>
      <c r="T55" s="23"/>
      <c r="U55"/>
      <c r="V55"/>
      <c r="W55"/>
      <c r="X55"/>
      <c r="Y55"/>
      <c r="Z55"/>
      <c r="AA55"/>
      <c r="AB55"/>
    </row>
    <row r="56" spans="1:28" ht="16" thickBot="1" x14ac:dyDescent="0.25"/>
    <row r="57" spans="1:28" s="10" customFormat="1" ht="16" thickBot="1" x14ac:dyDescent="0.25">
      <c r="A57" s="5" t="s">
        <v>17</v>
      </c>
      <c r="B57" s="6" t="s">
        <v>3</v>
      </c>
      <c r="C57" s="7" t="s">
        <v>4</v>
      </c>
      <c r="D57" s="51" t="s">
        <v>5</v>
      </c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3"/>
      <c r="T57"/>
      <c r="U57"/>
      <c r="V57"/>
      <c r="W57"/>
      <c r="X57"/>
      <c r="Y57"/>
      <c r="Z57"/>
      <c r="AA57"/>
      <c r="AB57"/>
    </row>
    <row r="58" spans="1:28" s="10" customFormat="1" ht="16" thickBot="1" x14ac:dyDescent="0.25">
      <c r="A58" s="11"/>
      <c r="B58" s="7">
        <v>10</v>
      </c>
      <c r="C58" s="12">
        <f>$C$1-B58</f>
        <v>14</v>
      </c>
      <c r="D58" s="6">
        <v>1</v>
      </c>
      <c r="E58" s="8">
        <f>D58+1</f>
        <v>2</v>
      </c>
      <c r="F58" s="8">
        <f t="shared" ref="F58:S58" si="28">E58+1</f>
        <v>3</v>
      </c>
      <c r="G58" s="8">
        <f t="shared" si="28"/>
        <v>4</v>
      </c>
      <c r="H58" s="8">
        <f t="shared" si="28"/>
        <v>5</v>
      </c>
      <c r="I58" s="8">
        <f t="shared" si="28"/>
        <v>6</v>
      </c>
      <c r="J58" s="8">
        <f t="shared" si="28"/>
        <v>7</v>
      </c>
      <c r="K58" s="8">
        <f t="shared" si="28"/>
        <v>8</v>
      </c>
      <c r="L58" s="8">
        <f t="shared" si="28"/>
        <v>9</v>
      </c>
      <c r="M58" s="8">
        <f t="shared" si="28"/>
        <v>10</v>
      </c>
      <c r="N58" s="8">
        <f t="shared" si="28"/>
        <v>11</v>
      </c>
      <c r="O58" s="8">
        <f t="shared" si="28"/>
        <v>12</v>
      </c>
      <c r="P58" s="8">
        <f t="shared" si="28"/>
        <v>13</v>
      </c>
      <c r="Q58" s="8">
        <f t="shared" si="28"/>
        <v>14</v>
      </c>
      <c r="R58" s="8">
        <f t="shared" si="28"/>
        <v>15</v>
      </c>
      <c r="S58" s="9">
        <f t="shared" si="28"/>
        <v>16</v>
      </c>
      <c r="T58"/>
      <c r="U58"/>
      <c r="V58"/>
      <c r="W58"/>
      <c r="X58"/>
      <c r="Y58"/>
      <c r="Z58"/>
      <c r="AA58"/>
      <c r="AB58"/>
    </row>
    <row r="59" spans="1:28" s="10" customFormat="1" x14ac:dyDescent="0.2">
      <c r="C59" s="13" t="s">
        <v>6</v>
      </c>
      <c r="D59" s="5">
        <f>COMBIN($C$58,D58)/COMBIN($C$1,D58)</f>
        <v>0.58333333333333337</v>
      </c>
      <c r="E59" s="36">
        <f>COMBIN($C$58,E58)/COMBIN($C$1,E58)</f>
        <v>0.32971014492753625</v>
      </c>
      <c r="F59" s="36">
        <f>COMBIN($C$58,F58)/COMBIN($C$1,F58)</f>
        <v>0.17984189723320157</v>
      </c>
      <c r="G59" s="36">
        <f>COMBIN($C$58,G58)/COMBIN($C$1,G58)</f>
        <v>9.420289855072464E-2</v>
      </c>
      <c r="H59" s="36">
        <f>COMBIN($C$58,H58)/COMBIN($C$1,H58)</f>
        <v>4.7101449275362327E-2</v>
      </c>
      <c r="I59" s="36">
        <f>COMBIN($C$58,I58)/COMBIN($C$1,I58)</f>
        <v>2.23112128146453E-2</v>
      </c>
      <c r="J59" s="36">
        <f>COMBIN($C$58,J58)/COMBIN($C$1,J58)</f>
        <v>9.9160945842868033E-3</v>
      </c>
      <c r="K59" s="36">
        <f>COMBIN($C$58,K58)/COMBIN($C$1,K58)</f>
        <v>4.0830977700004479E-3</v>
      </c>
      <c r="L59" s="36">
        <f>COMBIN($C$58,L58)/COMBIN($C$1,L58)</f>
        <v>1.5311616637501682E-3</v>
      </c>
      <c r="M59" s="36">
        <f>COMBIN($C$58,M58)/COMBIN($C$1,M58)</f>
        <v>5.103872212500561E-4</v>
      </c>
      <c r="N59" s="36">
        <f>COMBIN($C$58,N58)/COMBIN($C$1,N58)</f>
        <v>1.4582492035715886E-4</v>
      </c>
      <c r="O59" s="36">
        <f>COMBIN($C$58,O58)/COMBIN($C$1,O58)</f>
        <v>3.3651904697805888E-5</v>
      </c>
      <c r="P59" s="36">
        <f>COMBIN($C$58,P58)/COMBIN($C$1,P58)</f>
        <v>5.6086507829676485E-6</v>
      </c>
      <c r="Q59" s="36">
        <f>COMBIN($C$58,Q58)/COMBIN($C$1,Q58)</f>
        <v>5.0987734390614998E-7</v>
      </c>
      <c r="R59" s="36"/>
      <c r="S59" s="16"/>
      <c r="T59"/>
      <c r="U59"/>
      <c r="V59"/>
      <c r="W59"/>
      <c r="X59"/>
      <c r="Y59"/>
      <c r="Z59"/>
      <c r="AA59"/>
      <c r="AB59"/>
    </row>
    <row r="60" spans="1:28" s="10" customFormat="1" x14ac:dyDescent="0.2">
      <c r="C60" s="17" t="s">
        <v>7</v>
      </c>
      <c r="D60" s="37">
        <f>1/D59</f>
        <v>1.7142857142857142</v>
      </c>
      <c r="E60" s="10">
        <f t="shared" ref="E60:Q60" si="29">1/E59</f>
        <v>3.0329670329670328</v>
      </c>
      <c r="F60" s="10">
        <f t="shared" si="29"/>
        <v>5.5604395604395611</v>
      </c>
      <c r="G60" s="10">
        <f t="shared" si="29"/>
        <v>10.615384615384615</v>
      </c>
      <c r="H60" s="10">
        <f t="shared" si="29"/>
        <v>21.230769230769226</v>
      </c>
      <c r="I60" s="10">
        <f t="shared" si="29"/>
        <v>44.820512820512839</v>
      </c>
      <c r="J60" s="10">
        <f t="shared" si="29"/>
        <v>100.84615384615385</v>
      </c>
      <c r="K60" s="10">
        <f t="shared" si="29"/>
        <v>244.91208791208797</v>
      </c>
      <c r="L60" s="10">
        <f t="shared" si="29"/>
        <v>653.09890109890114</v>
      </c>
      <c r="M60" s="10">
        <f t="shared" si="29"/>
        <v>1959.2967032967033</v>
      </c>
      <c r="N60" s="10">
        <f t="shared" si="29"/>
        <v>6857.5384615384628</v>
      </c>
      <c r="O60" s="10">
        <f t="shared" si="29"/>
        <v>29716.000000000007</v>
      </c>
      <c r="P60" s="10">
        <f t="shared" si="29"/>
        <v>178296.00000000003</v>
      </c>
      <c r="Q60" s="10">
        <f t="shared" si="29"/>
        <v>1961255.9999999998</v>
      </c>
      <c r="S60" s="12"/>
      <c r="T60"/>
      <c r="U60"/>
      <c r="V60"/>
      <c r="W60"/>
      <c r="X60"/>
      <c r="Y60"/>
      <c r="Z60"/>
      <c r="AA60"/>
      <c r="AB60"/>
    </row>
    <row r="61" spans="1:28" s="10" customFormat="1" ht="16" thickBot="1" x14ac:dyDescent="0.25">
      <c r="C61" s="20" t="s">
        <v>8</v>
      </c>
      <c r="D61" s="11">
        <f>$F$1*D60</f>
        <v>1.6971428571428571</v>
      </c>
      <c r="E61" s="38">
        <f t="shared" ref="E61:Q61" si="30">$F$1*E60</f>
        <v>3.0026373626373624</v>
      </c>
      <c r="F61" s="38">
        <f t="shared" si="30"/>
        <v>5.5048351648351659</v>
      </c>
      <c r="G61" s="38">
        <f t="shared" si="30"/>
        <v>10.509230769230768</v>
      </c>
      <c r="H61" s="38">
        <f t="shared" si="30"/>
        <v>21.018461538461533</v>
      </c>
      <c r="I61" s="38">
        <f t="shared" si="30"/>
        <v>44.372307692307707</v>
      </c>
      <c r="J61" s="38">
        <f t="shared" si="30"/>
        <v>99.837692307692308</v>
      </c>
      <c r="K61" s="38">
        <f t="shared" si="30"/>
        <v>242.4629670329671</v>
      </c>
      <c r="L61" s="38">
        <f t="shared" si="30"/>
        <v>646.56791208791208</v>
      </c>
      <c r="M61" s="38">
        <f t="shared" si="30"/>
        <v>1939.7037362637363</v>
      </c>
      <c r="N61" s="38">
        <f t="shared" si="30"/>
        <v>6788.963076923078</v>
      </c>
      <c r="O61" s="38">
        <f t="shared" si="30"/>
        <v>29418.840000000007</v>
      </c>
      <c r="P61" s="38">
        <f t="shared" si="30"/>
        <v>176513.04000000004</v>
      </c>
      <c r="Q61" s="38">
        <f t="shared" si="30"/>
        <v>1941643.4399999997</v>
      </c>
      <c r="R61" s="38"/>
      <c r="S61" s="23"/>
      <c r="T61"/>
      <c r="U61"/>
      <c r="V61"/>
      <c r="W61"/>
      <c r="X61"/>
      <c r="Y61"/>
      <c r="Z61"/>
      <c r="AA61"/>
      <c r="AB61"/>
    </row>
    <row r="62" spans="1:28" ht="16" thickBot="1" x14ac:dyDescent="0.25"/>
    <row r="63" spans="1:28" s="10" customFormat="1" ht="16" thickBot="1" x14ac:dyDescent="0.25">
      <c r="A63" s="5" t="s">
        <v>18</v>
      </c>
      <c r="B63" s="6" t="s">
        <v>3</v>
      </c>
      <c r="C63" s="7" t="s">
        <v>4</v>
      </c>
      <c r="D63" s="51" t="s">
        <v>5</v>
      </c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3"/>
      <c r="S63"/>
      <c r="T63"/>
      <c r="U63"/>
      <c r="V63"/>
      <c r="W63"/>
      <c r="X63"/>
      <c r="Y63"/>
      <c r="Z63"/>
      <c r="AA63"/>
      <c r="AB63"/>
    </row>
    <row r="64" spans="1:28" s="10" customFormat="1" ht="16" thickBot="1" x14ac:dyDescent="0.25">
      <c r="A64" s="11"/>
      <c r="B64" s="7">
        <v>11</v>
      </c>
      <c r="C64" s="12">
        <f>$C$1-B64</f>
        <v>13</v>
      </c>
      <c r="D64" s="6">
        <v>1</v>
      </c>
      <c r="E64" s="8">
        <f>D64+1</f>
        <v>2</v>
      </c>
      <c r="F64" s="8">
        <f t="shared" ref="F64:R64" si="31">E64+1</f>
        <v>3</v>
      </c>
      <c r="G64" s="8">
        <f t="shared" si="31"/>
        <v>4</v>
      </c>
      <c r="H64" s="8">
        <f t="shared" si="31"/>
        <v>5</v>
      </c>
      <c r="I64" s="8">
        <f t="shared" si="31"/>
        <v>6</v>
      </c>
      <c r="J64" s="8">
        <f t="shared" si="31"/>
        <v>7</v>
      </c>
      <c r="K64" s="8">
        <f t="shared" si="31"/>
        <v>8</v>
      </c>
      <c r="L64" s="8">
        <f t="shared" si="31"/>
        <v>9</v>
      </c>
      <c r="M64" s="8">
        <f t="shared" si="31"/>
        <v>10</v>
      </c>
      <c r="N64" s="8">
        <f t="shared" si="31"/>
        <v>11</v>
      </c>
      <c r="O64" s="8">
        <f t="shared" si="31"/>
        <v>12</v>
      </c>
      <c r="P64" s="8">
        <f t="shared" si="31"/>
        <v>13</v>
      </c>
      <c r="Q64" s="8">
        <f t="shared" si="31"/>
        <v>14</v>
      </c>
      <c r="R64" s="9">
        <f t="shared" si="31"/>
        <v>15</v>
      </c>
      <c r="S64"/>
      <c r="T64"/>
      <c r="U64"/>
      <c r="V64"/>
      <c r="W64"/>
      <c r="X64"/>
      <c r="Y64"/>
      <c r="Z64"/>
      <c r="AA64"/>
      <c r="AB64"/>
    </row>
    <row r="65" spans="1:28" s="10" customFormat="1" x14ac:dyDescent="0.2">
      <c r="C65" s="13" t="s">
        <v>6</v>
      </c>
      <c r="D65" s="5">
        <f>COMBIN($C$64,D64)/COMBIN($C$1,D64)</f>
        <v>0.54166666666666663</v>
      </c>
      <c r="E65" s="36">
        <f>COMBIN($C$64,E64)/COMBIN($C$1,E64)</f>
        <v>0.28260869565217389</v>
      </c>
      <c r="F65" s="36">
        <f>COMBIN($C$64,F64)/COMBIN($C$1,F64)</f>
        <v>0.14130434782608695</v>
      </c>
      <c r="G65" s="36">
        <f>COMBIN($C$64,G64)/COMBIN($C$1,G64)</f>
        <v>6.7287784679089024E-2</v>
      </c>
      <c r="H65" s="36">
        <f>COMBIN($C$64,H64)/COMBIN($C$1,H64)</f>
        <v>3.0279503105590067E-2</v>
      </c>
      <c r="I65" s="36">
        <f>COMBIN($C$64,I64)/COMBIN($C$1,I64)</f>
        <v>1.2749264465511603E-2</v>
      </c>
      <c r="J65" s="36">
        <f>COMBIN($C$64,J64)/COMBIN($C$1,J64)</f>
        <v>4.9580472921434016E-3</v>
      </c>
      <c r="K65" s="36">
        <f>COMBIN($C$64,K64)/COMBIN($C$1,K64)</f>
        <v>1.7498990442859066E-3</v>
      </c>
      <c r="L65" s="36">
        <f>COMBIN($C$64,L64)/COMBIN($C$1,L64)</f>
        <v>5.4684345133934576E-4</v>
      </c>
      <c r="M65" s="36">
        <f>COMBIN($C$64,M64)/COMBIN($C$1,M64)</f>
        <v>1.4582492035715888E-4</v>
      </c>
      <c r="N65" s="36">
        <f>COMBIN($C$64,N64)/COMBIN($C$1,N64)</f>
        <v>3.1248197219391185E-5</v>
      </c>
      <c r="O65" s="36">
        <f>COMBIN($C$64,O64)/COMBIN($C$1,O64)</f>
        <v>4.8074149568294117E-6</v>
      </c>
      <c r="P65" s="36">
        <f>COMBIN($C$64,P64)/COMBIN($C$1,P64)</f>
        <v>4.0061791306911773E-7</v>
      </c>
      <c r="Q65" s="36"/>
      <c r="R65" s="16">
        <f t="shared" ref="R65" si="32">1-(R64/25)</f>
        <v>0.4</v>
      </c>
      <c r="S65"/>
      <c r="T65"/>
      <c r="U65"/>
      <c r="V65"/>
      <c r="W65"/>
      <c r="X65"/>
      <c r="Y65"/>
      <c r="Z65"/>
      <c r="AA65"/>
      <c r="AB65"/>
    </row>
    <row r="66" spans="1:28" s="10" customFormat="1" x14ac:dyDescent="0.2">
      <c r="C66" s="17" t="s">
        <v>7</v>
      </c>
      <c r="D66" s="44">
        <f>1/D65</f>
        <v>1.8461538461538463</v>
      </c>
      <c r="E66" s="45">
        <f t="shared" ref="E66:P66" si="33">1/E65</f>
        <v>3.5384615384615388</v>
      </c>
      <c r="F66" s="45">
        <f t="shared" si="33"/>
        <v>7.0769230769230775</v>
      </c>
      <c r="G66" s="45">
        <f t="shared" si="33"/>
        <v>14.861538461538462</v>
      </c>
      <c r="H66" s="45">
        <f t="shared" si="33"/>
        <v>33.025641025641022</v>
      </c>
      <c r="I66" s="45">
        <f t="shared" si="33"/>
        <v>78.435897435897445</v>
      </c>
      <c r="J66" s="45">
        <f t="shared" si="33"/>
        <v>201.69230769230771</v>
      </c>
      <c r="K66" s="45">
        <f t="shared" si="33"/>
        <v>571.46153846153845</v>
      </c>
      <c r="L66" s="45">
        <f t="shared" si="33"/>
        <v>1828.6769230769232</v>
      </c>
      <c r="M66" s="45">
        <f t="shared" si="33"/>
        <v>6857.538461538461</v>
      </c>
      <c r="N66" s="45">
        <f t="shared" si="33"/>
        <v>32001.84615384616</v>
      </c>
      <c r="O66" s="45">
        <f t="shared" si="33"/>
        <v>208012.00000000009</v>
      </c>
      <c r="P66" s="45">
        <f t="shared" si="33"/>
        <v>2496144.0000000005</v>
      </c>
      <c r="Q66" s="45"/>
      <c r="R66" s="12"/>
      <c r="S66"/>
      <c r="T66"/>
      <c r="U66"/>
      <c r="V66"/>
      <c r="W66"/>
      <c r="X66"/>
      <c r="Y66"/>
      <c r="Z66"/>
      <c r="AA66"/>
      <c r="AB66"/>
    </row>
    <row r="67" spans="1:28" s="10" customFormat="1" ht="16" thickBot="1" x14ac:dyDescent="0.25">
      <c r="C67" s="20" t="s">
        <v>8</v>
      </c>
      <c r="D67" s="46">
        <f>$F$1*D66</f>
        <v>1.8276923076923077</v>
      </c>
      <c r="E67" s="47">
        <f t="shared" ref="E67:P67" si="34">$F$1*E66</f>
        <v>3.5030769230769234</v>
      </c>
      <c r="F67" s="47">
        <f t="shared" si="34"/>
        <v>7.0061538461538468</v>
      </c>
      <c r="G67" s="47">
        <f t="shared" si="34"/>
        <v>14.712923076923078</v>
      </c>
      <c r="H67" s="47">
        <f t="shared" si="34"/>
        <v>32.695384615384611</v>
      </c>
      <c r="I67" s="47">
        <f t="shared" si="34"/>
        <v>77.651538461538465</v>
      </c>
      <c r="J67" s="47">
        <f t="shared" si="34"/>
        <v>199.67538461538462</v>
      </c>
      <c r="K67" s="47">
        <f t="shared" si="34"/>
        <v>565.74692307692305</v>
      </c>
      <c r="L67" s="47">
        <f t="shared" si="34"/>
        <v>1810.3901538461539</v>
      </c>
      <c r="M67" s="47">
        <f t="shared" si="34"/>
        <v>6788.9630769230762</v>
      </c>
      <c r="N67" s="47">
        <f t="shared" si="34"/>
        <v>31681.827692307699</v>
      </c>
      <c r="O67" s="47">
        <f t="shared" si="34"/>
        <v>205931.88000000009</v>
      </c>
      <c r="P67" s="47">
        <f t="shared" si="34"/>
        <v>2471182.5600000005</v>
      </c>
      <c r="Q67" s="47"/>
      <c r="R67" s="23"/>
      <c r="S67"/>
      <c r="T67"/>
      <c r="U67"/>
      <c r="V67"/>
      <c r="W67"/>
      <c r="X67"/>
      <c r="Y67"/>
      <c r="Z67"/>
      <c r="AA67"/>
      <c r="AB67"/>
    </row>
    <row r="68" spans="1:28" ht="16" thickBot="1" x14ac:dyDescent="0.25"/>
    <row r="69" spans="1:28" s="10" customFormat="1" ht="16" thickBot="1" x14ac:dyDescent="0.25">
      <c r="A69" s="5" t="s">
        <v>19</v>
      </c>
      <c r="B69" s="6" t="s">
        <v>3</v>
      </c>
      <c r="C69" s="7" t="s">
        <v>4</v>
      </c>
      <c r="D69" s="51" t="s">
        <v>5</v>
      </c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3"/>
      <c r="R69"/>
      <c r="S69"/>
      <c r="T69"/>
      <c r="U69"/>
      <c r="V69"/>
      <c r="W69"/>
      <c r="X69"/>
      <c r="Y69"/>
      <c r="Z69"/>
      <c r="AA69"/>
      <c r="AB69"/>
    </row>
    <row r="70" spans="1:28" s="10" customFormat="1" ht="16" thickBot="1" x14ac:dyDescent="0.25">
      <c r="A70" s="11"/>
      <c r="B70" s="7">
        <v>12</v>
      </c>
      <c r="C70" s="12">
        <f>$C$1-B70</f>
        <v>12</v>
      </c>
      <c r="D70" s="6">
        <v>1</v>
      </c>
      <c r="E70" s="8">
        <f>D70+1</f>
        <v>2</v>
      </c>
      <c r="F70" s="8">
        <f t="shared" ref="F70:Q70" si="35">E70+1</f>
        <v>3</v>
      </c>
      <c r="G70" s="8">
        <f t="shared" si="35"/>
        <v>4</v>
      </c>
      <c r="H70" s="8">
        <f t="shared" si="35"/>
        <v>5</v>
      </c>
      <c r="I70" s="8">
        <f t="shared" si="35"/>
        <v>6</v>
      </c>
      <c r="J70" s="8">
        <f t="shared" si="35"/>
        <v>7</v>
      </c>
      <c r="K70" s="8">
        <f t="shared" si="35"/>
        <v>8</v>
      </c>
      <c r="L70" s="8">
        <f t="shared" si="35"/>
        <v>9</v>
      </c>
      <c r="M70" s="8">
        <f t="shared" si="35"/>
        <v>10</v>
      </c>
      <c r="N70" s="8">
        <f t="shared" si="35"/>
        <v>11</v>
      </c>
      <c r="O70" s="8">
        <f t="shared" si="35"/>
        <v>12</v>
      </c>
      <c r="P70" s="8">
        <f t="shared" si="35"/>
        <v>13</v>
      </c>
      <c r="Q70" s="9">
        <f t="shared" si="35"/>
        <v>14</v>
      </c>
      <c r="R70"/>
      <c r="S70"/>
      <c r="T70"/>
      <c r="U70"/>
      <c r="V70"/>
      <c r="W70"/>
      <c r="X70"/>
      <c r="Y70"/>
      <c r="Z70"/>
      <c r="AA70"/>
      <c r="AB70"/>
    </row>
    <row r="71" spans="1:28" s="10" customFormat="1" x14ac:dyDescent="0.2">
      <c r="C71" s="13" t="s">
        <v>6</v>
      </c>
      <c r="D71" s="5">
        <f>COMBIN($C$70,D70)/COMBIN($C$1,D70)</f>
        <v>0.5</v>
      </c>
      <c r="E71" s="36">
        <f>COMBIN($C$70,E70)/COMBIN($C$1,E70)</f>
        <v>0.2391304347826087</v>
      </c>
      <c r="F71" s="36">
        <f>COMBIN($C$70,F70)/COMBIN($C$1,F70)</f>
        <v>0.10869565217391303</v>
      </c>
      <c r="G71" s="36">
        <f>COMBIN($C$70,G70)/COMBIN($C$1,G70)</f>
        <v>4.6583850931677016E-2</v>
      </c>
      <c r="H71" s="36">
        <f>COMBIN($C$70,H70)/COMBIN($C$1,H70)</f>
        <v>1.8633540372670811E-2</v>
      </c>
      <c r="I71" s="36">
        <f>COMBIN($C$70,I70)/COMBIN($C$1,I70)</f>
        <v>6.8649885583523997E-3</v>
      </c>
      <c r="J71" s="36">
        <f>COMBIN($C$70,J70)/COMBIN($C$1,J70)</f>
        <v>2.2883295194508009E-3</v>
      </c>
      <c r="K71" s="36">
        <f>COMBIN($C$70,K70)/COMBIN($C$1,K70)</f>
        <v>6.7303809395611789E-4</v>
      </c>
      <c r="L71" s="36">
        <f>COMBIN($C$70,L70)/COMBIN($C$1,L70)</f>
        <v>1.6825952348902947E-4</v>
      </c>
      <c r="M71" s="36">
        <f>COMBIN($C$70,M70)/COMBIN($C$1,M70)</f>
        <v>3.3651904697805894E-5</v>
      </c>
      <c r="N71" s="36">
        <f>COMBIN($C$70,N70)/COMBIN($C$1,N70)</f>
        <v>4.8074149568294125E-6</v>
      </c>
      <c r="O71" s="36">
        <f>COMBIN($C$70,O70)/COMBIN($C$1,O70)</f>
        <v>3.6980115052533939E-7</v>
      </c>
      <c r="P71" s="36"/>
      <c r="Q71" s="16"/>
      <c r="R71"/>
      <c r="S71"/>
      <c r="T71"/>
      <c r="U71"/>
      <c r="V71"/>
      <c r="W71"/>
      <c r="X71"/>
      <c r="Y71"/>
      <c r="Z71"/>
      <c r="AA71"/>
      <c r="AB71"/>
    </row>
    <row r="72" spans="1:28" s="10" customFormat="1" x14ac:dyDescent="0.2">
      <c r="C72" s="17" t="s">
        <v>7</v>
      </c>
      <c r="D72" s="37">
        <f>1/D71</f>
        <v>2</v>
      </c>
      <c r="E72" s="10">
        <f t="shared" ref="E72:O72" si="36">1/E71</f>
        <v>4.1818181818181817</v>
      </c>
      <c r="F72" s="10">
        <f t="shared" si="36"/>
        <v>9.2000000000000011</v>
      </c>
      <c r="G72" s="10">
        <f t="shared" si="36"/>
        <v>21.466666666666669</v>
      </c>
      <c r="H72" s="10">
        <f t="shared" si="36"/>
        <v>53.666666666666657</v>
      </c>
      <c r="I72" s="10">
        <f t="shared" si="36"/>
        <v>145.66666666666674</v>
      </c>
      <c r="J72" s="10">
        <f t="shared" si="36"/>
        <v>437</v>
      </c>
      <c r="K72" s="10">
        <f t="shared" si="36"/>
        <v>1485.8</v>
      </c>
      <c r="L72" s="10">
        <f t="shared" si="36"/>
        <v>5943.2</v>
      </c>
      <c r="M72" s="10">
        <f t="shared" si="36"/>
        <v>29716</v>
      </c>
      <c r="N72" s="10">
        <f t="shared" si="36"/>
        <v>208012.00000000006</v>
      </c>
      <c r="O72" s="10">
        <f t="shared" si="36"/>
        <v>2704156.0000000009</v>
      </c>
      <c r="Q72" s="12"/>
      <c r="R72"/>
      <c r="S72"/>
      <c r="T72"/>
      <c r="U72"/>
      <c r="V72"/>
      <c r="W72"/>
      <c r="X72"/>
      <c r="Y72"/>
      <c r="Z72"/>
      <c r="AA72"/>
      <c r="AB72"/>
    </row>
    <row r="73" spans="1:28" s="10" customFormat="1" ht="16" thickBot="1" x14ac:dyDescent="0.25">
      <c r="C73" s="20" t="s">
        <v>8</v>
      </c>
      <c r="D73" s="11">
        <f>$F$1*D72</f>
        <v>1.98</v>
      </c>
      <c r="E73" s="38">
        <f t="shared" ref="E73:O73" si="37">$F$1*E72</f>
        <v>4.1399999999999997</v>
      </c>
      <c r="F73" s="38">
        <f t="shared" si="37"/>
        <v>9.1080000000000005</v>
      </c>
      <c r="G73" s="38">
        <f t="shared" si="37"/>
        <v>21.252000000000002</v>
      </c>
      <c r="H73" s="38">
        <f t="shared" si="37"/>
        <v>53.129999999999988</v>
      </c>
      <c r="I73" s="38">
        <f t="shared" si="37"/>
        <v>144.21000000000006</v>
      </c>
      <c r="J73" s="38">
        <f t="shared" si="37"/>
        <v>432.63</v>
      </c>
      <c r="K73" s="38">
        <f t="shared" si="37"/>
        <v>1470.942</v>
      </c>
      <c r="L73" s="38">
        <f t="shared" si="37"/>
        <v>5883.768</v>
      </c>
      <c r="M73" s="38">
        <f t="shared" si="37"/>
        <v>29418.84</v>
      </c>
      <c r="N73" s="38">
        <f t="shared" si="37"/>
        <v>205931.88000000006</v>
      </c>
      <c r="O73" s="38">
        <f t="shared" si="37"/>
        <v>2677114.4400000009</v>
      </c>
      <c r="P73" s="38"/>
      <c r="Q73" s="23"/>
      <c r="R73"/>
      <c r="S73"/>
      <c r="T73"/>
      <c r="U73"/>
      <c r="V73"/>
      <c r="W73"/>
      <c r="X73"/>
      <c r="Y73"/>
      <c r="Z73"/>
      <c r="AA73"/>
      <c r="AB73"/>
    </row>
    <row r="74" spans="1:28" ht="16" thickBot="1" x14ac:dyDescent="0.25"/>
    <row r="75" spans="1:28" s="10" customFormat="1" ht="16" thickBot="1" x14ac:dyDescent="0.25">
      <c r="A75" s="5" t="s">
        <v>20</v>
      </c>
      <c r="B75" s="6" t="s">
        <v>3</v>
      </c>
      <c r="C75" s="7" t="s">
        <v>4</v>
      </c>
      <c r="D75" s="51" t="s">
        <v>5</v>
      </c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3"/>
      <c r="Q75"/>
      <c r="R75"/>
      <c r="S75"/>
      <c r="T75"/>
      <c r="U75"/>
      <c r="V75"/>
      <c r="W75"/>
      <c r="X75"/>
      <c r="Y75"/>
      <c r="Z75"/>
      <c r="AA75"/>
      <c r="AB75"/>
    </row>
    <row r="76" spans="1:28" s="10" customFormat="1" ht="16" thickBot="1" x14ac:dyDescent="0.25">
      <c r="A76" s="11"/>
      <c r="B76" s="7">
        <v>13</v>
      </c>
      <c r="C76" s="12">
        <f>$C$1-B76</f>
        <v>11</v>
      </c>
      <c r="D76" s="6">
        <v>1</v>
      </c>
      <c r="E76" s="8">
        <f>D76+1</f>
        <v>2</v>
      </c>
      <c r="F76" s="8">
        <f t="shared" ref="F76:P76" si="38">E76+1</f>
        <v>3</v>
      </c>
      <c r="G76" s="8">
        <f t="shared" si="38"/>
        <v>4</v>
      </c>
      <c r="H76" s="8">
        <f t="shared" si="38"/>
        <v>5</v>
      </c>
      <c r="I76" s="8">
        <f t="shared" si="38"/>
        <v>6</v>
      </c>
      <c r="J76" s="8">
        <f t="shared" si="38"/>
        <v>7</v>
      </c>
      <c r="K76" s="8">
        <f t="shared" si="38"/>
        <v>8</v>
      </c>
      <c r="L76" s="8">
        <f t="shared" si="38"/>
        <v>9</v>
      </c>
      <c r="M76" s="8">
        <f t="shared" si="38"/>
        <v>10</v>
      </c>
      <c r="N76" s="8">
        <f t="shared" si="38"/>
        <v>11</v>
      </c>
      <c r="O76" s="8">
        <f t="shared" si="38"/>
        <v>12</v>
      </c>
      <c r="P76" s="9">
        <f t="shared" si="38"/>
        <v>13</v>
      </c>
      <c r="Q76"/>
      <c r="R76"/>
      <c r="S76"/>
      <c r="T76"/>
      <c r="U76"/>
      <c r="V76"/>
      <c r="W76"/>
      <c r="X76"/>
      <c r="Y76"/>
      <c r="Z76"/>
      <c r="AA76"/>
      <c r="AB76"/>
    </row>
    <row r="77" spans="1:28" s="10" customFormat="1" x14ac:dyDescent="0.2">
      <c r="C77" s="13" t="s">
        <v>6</v>
      </c>
      <c r="D77" s="5">
        <f>COMBIN($C$76,D76)/COMBIN($C$1,D76)</f>
        <v>0.45833333333333331</v>
      </c>
      <c r="E77" s="36">
        <f>COMBIN($C$76,E76)/COMBIN($C$1,E76)</f>
        <v>0.19927536231884058</v>
      </c>
      <c r="F77" s="36">
        <f>COMBIN($C$76,F76)/COMBIN($C$1,F76)</f>
        <v>8.152173913043477E-2</v>
      </c>
      <c r="G77" s="36">
        <f>COMBIN($C$76,G76)/COMBIN($C$1,G76)</f>
        <v>3.1055900621118012E-2</v>
      </c>
      <c r="H77" s="36">
        <f>COMBIN($C$76,H76)/COMBIN($C$1,H76)</f>
        <v>1.0869565217391304E-2</v>
      </c>
      <c r="I77" s="36">
        <f>COMBIN($C$76,I76)/COMBIN($C$1,I76)</f>
        <v>3.4324942791762003E-3</v>
      </c>
      <c r="J77" s="36">
        <f>COMBIN($C$76,J76)/COMBIN($C$1,J76)</f>
        <v>9.5347063310450035E-4</v>
      </c>
      <c r="K77" s="36">
        <f>COMBIN($C$76,K76)/COMBIN($C$1,K76)</f>
        <v>2.2434603131870598E-4</v>
      </c>
      <c r="L77" s="36">
        <f>COMBIN($C$76,L76)/COMBIN($C$1,L76)</f>
        <v>4.2064880872257368E-5</v>
      </c>
      <c r="M77" s="36">
        <f>COMBIN($C$76,M76)/COMBIN($C$1,M76)</f>
        <v>5.6086507829676493E-6</v>
      </c>
      <c r="N77" s="36">
        <f>COMBIN($C$76,N76)/COMBIN($C$1,N76)</f>
        <v>4.0061791306911773E-7</v>
      </c>
      <c r="O77" s="36"/>
      <c r="P77" s="16"/>
      <c r="Q77"/>
      <c r="R77"/>
      <c r="S77"/>
      <c r="T77"/>
      <c r="U77"/>
      <c r="V77"/>
      <c r="W77"/>
      <c r="X77"/>
      <c r="Y77"/>
      <c r="Z77"/>
      <c r="AA77"/>
      <c r="AB77"/>
    </row>
    <row r="78" spans="1:28" s="10" customFormat="1" x14ac:dyDescent="0.2">
      <c r="C78" s="17" t="s">
        <v>7</v>
      </c>
      <c r="D78" s="37">
        <f>1/D77</f>
        <v>2.1818181818181821</v>
      </c>
      <c r="E78" s="10">
        <f t="shared" ref="E78:N78" si="39">1/E77</f>
        <v>5.0181818181818185</v>
      </c>
      <c r="F78" s="10">
        <f t="shared" si="39"/>
        <v>12.266666666666669</v>
      </c>
      <c r="G78" s="10">
        <f t="shared" si="39"/>
        <v>32.200000000000003</v>
      </c>
      <c r="H78" s="10">
        <f t="shared" si="39"/>
        <v>92</v>
      </c>
      <c r="I78" s="10">
        <f t="shared" si="39"/>
        <v>291.33333333333343</v>
      </c>
      <c r="J78" s="10">
        <f t="shared" si="39"/>
        <v>1048.8</v>
      </c>
      <c r="K78" s="10">
        <f t="shared" si="39"/>
        <v>4457.3999999999996</v>
      </c>
      <c r="L78" s="10">
        <f t="shared" si="39"/>
        <v>23772.799999999999</v>
      </c>
      <c r="M78" s="10">
        <f t="shared" si="39"/>
        <v>178296</v>
      </c>
      <c r="N78" s="10">
        <f t="shared" si="39"/>
        <v>2496144.0000000005</v>
      </c>
      <c r="P78" s="12"/>
      <c r="Q78"/>
      <c r="R78"/>
      <c r="S78"/>
      <c r="T78"/>
      <c r="U78"/>
      <c r="V78"/>
      <c r="W78"/>
      <c r="X78"/>
      <c r="Y78"/>
      <c r="Z78"/>
      <c r="AA78"/>
      <c r="AB78"/>
    </row>
    <row r="79" spans="1:28" s="10" customFormat="1" ht="16" thickBot="1" x14ac:dyDescent="0.25">
      <c r="C79" s="20" t="s">
        <v>8</v>
      </c>
      <c r="D79" s="11">
        <f>$F$1*D78</f>
        <v>2.16</v>
      </c>
      <c r="E79" s="38">
        <f t="shared" ref="E79:N79" si="40">$F$1*E78</f>
        <v>4.968</v>
      </c>
      <c r="F79" s="38">
        <f t="shared" si="40"/>
        <v>12.144000000000002</v>
      </c>
      <c r="G79" s="38">
        <f t="shared" si="40"/>
        <v>31.878000000000004</v>
      </c>
      <c r="H79" s="38">
        <f t="shared" si="40"/>
        <v>91.08</v>
      </c>
      <c r="I79" s="38">
        <f t="shared" si="40"/>
        <v>288.42000000000007</v>
      </c>
      <c r="J79" s="38">
        <f t="shared" si="40"/>
        <v>1038.3119999999999</v>
      </c>
      <c r="K79" s="38">
        <f t="shared" si="40"/>
        <v>4412.826</v>
      </c>
      <c r="L79" s="38">
        <f t="shared" si="40"/>
        <v>23535.072</v>
      </c>
      <c r="M79" s="38">
        <f t="shared" si="40"/>
        <v>176513.04</v>
      </c>
      <c r="N79" s="38">
        <f t="shared" si="40"/>
        <v>2471182.5600000005</v>
      </c>
      <c r="O79" s="38"/>
      <c r="P79" s="23"/>
      <c r="Q79"/>
      <c r="R79"/>
      <c r="S79"/>
      <c r="T79"/>
      <c r="U79"/>
      <c r="V79"/>
      <c r="W79"/>
      <c r="X79"/>
      <c r="Y79"/>
      <c r="Z79"/>
      <c r="AA79"/>
      <c r="AB79"/>
    </row>
    <row r="80" spans="1:28" ht="16" thickBot="1" x14ac:dyDescent="0.25"/>
    <row r="81" spans="1:28" s="10" customFormat="1" ht="16" thickBot="1" x14ac:dyDescent="0.25">
      <c r="A81" s="5" t="s">
        <v>21</v>
      </c>
      <c r="B81" s="6" t="s">
        <v>3</v>
      </c>
      <c r="C81" s="7" t="s">
        <v>4</v>
      </c>
      <c r="D81" s="51" t="s">
        <v>5</v>
      </c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3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1:28" s="10" customFormat="1" ht="16" thickBot="1" x14ac:dyDescent="0.25">
      <c r="A82" s="11"/>
      <c r="B82" s="7">
        <v>14</v>
      </c>
      <c r="C82" s="12">
        <f>$C$1-B82</f>
        <v>10</v>
      </c>
      <c r="D82" s="6">
        <v>1</v>
      </c>
      <c r="E82" s="8">
        <f>D82+1</f>
        <v>2</v>
      </c>
      <c r="F82" s="8">
        <f t="shared" ref="F82:O82" si="41">E82+1</f>
        <v>3</v>
      </c>
      <c r="G82" s="8">
        <f t="shared" si="41"/>
        <v>4</v>
      </c>
      <c r="H82" s="8">
        <f t="shared" si="41"/>
        <v>5</v>
      </c>
      <c r="I82" s="8">
        <f t="shared" si="41"/>
        <v>6</v>
      </c>
      <c r="J82" s="8">
        <f t="shared" si="41"/>
        <v>7</v>
      </c>
      <c r="K82" s="8">
        <f t="shared" si="41"/>
        <v>8</v>
      </c>
      <c r="L82" s="8">
        <f t="shared" si="41"/>
        <v>9</v>
      </c>
      <c r="M82" s="8">
        <f t="shared" si="41"/>
        <v>10</v>
      </c>
      <c r="N82" s="8">
        <f t="shared" si="41"/>
        <v>11</v>
      </c>
      <c r="O82" s="9">
        <f t="shared" si="41"/>
        <v>12</v>
      </c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1:28" s="10" customFormat="1" x14ac:dyDescent="0.2">
      <c r="C83" s="13" t="s">
        <v>6</v>
      </c>
      <c r="D83" s="5">
        <f>COMBIN($C$82,D82)/COMBIN($C$1,D82)</f>
        <v>0.41666666666666669</v>
      </c>
      <c r="E83" s="36">
        <f>COMBIN($C$82,E82)/COMBIN($C$1,E82)</f>
        <v>0.16304347826086957</v>
      </c>
      <c r="F83" s="36">
        <f>COMBIN($C$82,F82)/COMBIN($C$1,F82)</f>
        <v>5.9288537549407105E-2</v>
      </c>
      <c r="G83" s="36">
        <f>COMBIN($C$82,G82)/COMBIN($C$1,G82)</f>
        <v>1.9762845849802368E-2</v>
      </c>
      <c r="H83" s="36">
        <f>COMBIN($C$82,H82)/COMBIN($C$1,H82)</f>
        <v>5.9288537549407128E-3</v>
      </c>
      <c r="I83" s="36">
        <f>COMBIN($C$82,I82)/COMBIN($C$1,I82)</f>
        <v>1.5602246723528182E-3</v>
      </c>
      <c r="J83" s="36">
        <f>COMBIN($C$82,J82)/COMBIN($C$1,J82)</f>
        <v>3.4671659385618195E-4</v>
      </c>
      <c r="K83" s="36">
        <f>COMBIN($C$82,K82)/COMBIN($C$1,K82)</f>
        <v>6.1185281268737987E-5</v>
      </c>
      <c r="L83" s="36">
        <f>COMBIN($C$82,L82)/COMBIN($C$1,L82)</f>
        <v>7.6481601585922484E-6</v>
      </c>
      <c r="M83" s="36">
        <f>COMBIN($C$82,M82)/COMBIN($C$1,M82)</f>
        <v>5.0987734390614998E-7</v>
      </c>
      <c r="N83" s="36"/>
      <c r="O83" s="16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1:28" s="10" customFormat="1" x14ac:dyDescent="0.2">
      <c r="C84" s="17" t="s">
        <v>7</v>
      </c>
      <c r="D84" s="37">
        <f>1/D83</f>
        <v>2.4</v>
      </c>
      <c r="E84" s="10">
        <f t="shared" ref="E84:M84" si="42">1/E83</f>
        <v>6.1333333333333329</v>
      </c>
      <c r="F84" s="10">
        <f t="shared" si="42"/>
        <v>16.866666666666671</v>
      </c>
      <c r="G84" s="10">
        <f t="shared" si="42"/>
        <v>50.600000000000009</v>
      </c>
      <c r="H84" s="10">
        <f t="shared" si="42"/>
        <v>168.66666666666663</v>
      </c>
      <c r="I84" s="10">
        <f t="shared" si="42"/>
        <v>640.93333333333362</v>
      </c>
      <c r="J84" s="10">
        <f t="shared" si="42"/>
        <v>2884.2</v>
      </c>
      <c r="K84" s="10">
        <f t="shared" si="42"/>
        <v>16343.800000000001</v>
      </c>
      <c r="L84" s="10">
        <f t="shared" si="42"/>
        <v>130750.40000000001</v>
      </c>
      <c r="M84" s="10">
        <f t="shared" si="42"/>
        <v>1961255.9999999998</v>
      </c>
      <c r="O84" s="12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1:28" s="10" customFormat="1" ht="16" thickBot="1" x14ac:dyDescent="0.25">
      <c r="C85" s="20" t="s">
        <v>8</v>
      </c>
      <c r="D85" s="11">
        <f>$F$1*D84</f>
        <v>2.3759999999999999</v>
      </c>
      <c r="E85" s="38">
        <f t="shared" ref="E85:M85" si="43">$F$1*E84</f>
        <v>6.0719999999999992</v>
      </c>
      <c r="F85" s="38">
        <f t="shared" si="43"/>
        <v>16.698000000000004</v>
      </c>
      <c r="G85" s="38">
        <f t="shared" si="43"/>
        <v>50.094000000000008</v>
      </c>
      <c r="H85" s="38">
        <f t="shared" si="43"/>
        <v>166.97999999999996</v>
      </c>
      <c r="I85" s="38">
        <f t="shared" si="43"/>
        <v>634.52400000000023</v>
      </c>
      <c r="J85" s="38">
        <f t="shared" si="43"/>
        <v>2855.3579999999997</v>
      </c>
      <c r="K85" s="38">
        <f t="shared" si="43"/>
        <v>16180.362000000001</v>
      </c>
      <c r="L85" s="38">
        <f t="shared" si="43"/>
        <v>129442.89600000001</v>
      </c>
      <c r="M85" s="38">
        <f t="shared" si="43"/>
        <v>1941643.4399999997</v>
      </c>
      <c r="N85" s="38"/>
      <c r="O85" s="23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1:28" ht="16" thickBot="1" x14ac:dyDescent="0.25"/>
    <row r="87" spans="1:28" s="10" customFormat="1" ht="16" thickBot="1" x14ac:dyDescent="0.25">
      <c r="A87" s="5" t="s">
        <v>22</v>
      </c>
      <c r="B87" s="6" t="s">
        <v>3</v>
      </c>
      <c r="C87" s="7" t="s">
        <v>4</v>
      </c>
      <c r="D87" s="51" t="s">
        <v>5</v>
      </c>
      <c r="E87" s="52"/>
      <c r="F87" s="52"/>
      <c r="G87" s="52"/>
      <c r="H87" s="52"/>
      <c r="I87" s="52"/>
      <c r="J87" s="52"/>
      <c r="K87" s="52"/>
      <c r="L87" s="52"/>
      <c r="M87" s="52"/>
      <c r="N87" s="53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1:28" s="10" customFormat="1" ht="16" thickBot="1" x14ac:dyDescent="0.25">
      <c r="A88" s="11"/>
      <c r="B88" s="7">
        <v>15</v>
      </c>
      <c r="C88" s="12">
        <f>$C$1-B88</f>
        <v>9</v>
      </c>
      <c r="D88" s="6">
        <v>1</v>
      </c>
      <c r="E88" s="8">
        <f>D88+1</f>
        <v>2</v>
      </c>
      <c r="F88" s="8">
        <f t="shared" ref="F88:N88" si="44">E88+1</f>
        <v>3</v>
      </c>
      <c r="G88" s="8">
        <f t="shared" si="44"/>
        <v>4</v>
      </c>
      <c r="H88" s="8">
        <f t="shared" si="44"/>
        <v>5</v>
      </c>
      <c r="I88" s="8">
        <f t="shared" si="44"/>
        <v>6</v>
      </c>
      <c r="J88" s="8">
        <f t="shared" si="44"/>
        <v>7</v>
      </c>
      <c r="K88" s="8">
        <f t="shared" si="44"/>
        <v>8</v>
      </c>
      <c r="L88" s="8">
        <f t="shared" si="44"/>
        <v>9</v>
      </c>
      <c r="M88" s="8">
        <f t="shared" si="44"/>
        <v>10</v>
      </c>
      <c r="N88" s="9">
        <f t="shared" si="44"/>
        <v>11</v>
      </c>
      <c r="O88"/>
      <c r="P88"/>
      <c r="Q88"/>
      <c r="R88"/>
      <c r="S88"/>
      <c r="T88"/>
      <c r="U88"/>
      <c r="V88"/>
      <c r="W88"/>
      <c r="X88"/>
      <c r="Y88"/>
      <c r="Z88"/>
      <c r="AA88"/>
      <c r="AB88"/>
    </row>
    <row r="89" spans="1:28" s="10" customFormat="1" x14ac:dyDescent="0.2">
      <c r="C89" s="13" t="s">
        <v>6</v>
      </c>
      <c r="D89" s="5">
        <f>COMBIN($C$88,D88)/COMBIN($C$1,D88)</f>
        <v>0.375</v>
      </c>
      <c r="E89" s="36">
        <f>COMBIN($C$88,E88)/COMBIN($C$1,E88)</f>
        <v>0.13043478260869565</v>
      </c>
      <c r="F89" s="36">
        <f>COMBIN($C$88,F88)/COMBIN($C$1,F88)</f>
        <v>4.150197628458497E-2</v>
      </c>
      <c r="G89" s="36">
        <f>COMBIN($C$88,G88)/COMBIN($C$1,G88)</f>
        <v>1.1857707509881422E-2</v>
      </c>
      <c r="H89" s="36">
        <f>COMBIN($C$88,H88)/COMBIN($C$1,H88)</f>
        <v>2.9644268774703564E-3</v>
      </c>
      <c r="I89" s="36">
        <f>COMBIN($C$88,I88)/COMBIN($C$1,I88)</f>
        <v>6.2408986894112726E-4</v>
      </c>
      <c r="J89" s="36">
        <f>COMBIN($C$88,J88)/COMBIN($C$1,J88)</f>
        <v>1.0401497815685458E-4</v>
      </c>
      <c r="K89" s="36">
        <f>COMBIN($C$88,K88)/COMBIN($C$1,K88)</f>
        <v>1.2237056253747598E-5</v>
      </c>
      <c r="L89" s="36">
        <f>COMBIN($C$88,L88)/COMBIN($C$1,L88)</f>
        <v>7.6481601585922486E-7</v>
      </c>
      <c r="M89" s="36"/>
      <c r="N89" s="16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1:28" s="10" customFormat="1" x14ac:dyDescent="0.2">
      <c r="C90" s="17" t="s">
        <v>7</v>
      </c>
      <c r="D90" s="37">
        <f>1/D89</f>
        <v>2.6666666666666665</v>
      </c>
      <c r="E90" s="10">
        <f t="shared" ref="E90:L90" si="45">1/E89</f>
        <v>7.666666666666667</v>
      </c>
      <c r="F90" s="10">
        <f t="shared" si="45"/>
        <v>24.095238095238102</v>
      </c>
      <c r="G90" s="10">
        <f t="shared" si="45"/>
        <v>84.333333333333343</v>
      </c>
      <c r="H90" s="10">
        <f t="shared" si="45"/>
        <v>337.33333333333326</v>
      </c>
      <c r="I90" s="10">
        <f t="shared" si="45"/>
        <v>1602.3333333333339</v>
      </c>
      <c r="J90" s="10">
        <f t="shared" si="45"/>
        <v>9614</v>
      </c>
      <c r="K90" s="10">
        <f t="shared" si="45"/>
        <v>81719</v>
      </c>
      <c r="L90" s="10">
        <f t="shared" si="45"/>
        <v>1307504</v>
      </c>
      <c r="N90" s="12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1" spans="1:28" s="10" customFormat="1" ht="16" thickBot="1" x14ac:dyDescent="0.25">
      <c r="C91" s="20" t="s">
        <v>8</v>
      </c>
      <c r="D91" s="11">
        <f>$F$1*D90</f>
        <v>2.6399999999999997</v>
      </c>
      <c r="E91" s="38">
        <f t="shared" ref="E91:L91" si="46">$F$1*E90</f>
        <v>7.59</v>
      </c>
      <c r="F91" s="38">
        <f t="shared" si="46"/>
        <v>23.854285714285719</v>
      </c>
      <c r="G91" s="38">
        <f t="shared" si="46"/>
        <v>83.490000000000009</v>
      </c>
      <c r="H91" s="38">
        <f t="shared" si="46"/>
        <v>333.95999999999992</v>
      </c>
      <c r="I91" s="38">
        <f t="shared" si="46"/>
        <v>1586.3100000000006</v>
      </c>
      <c r="J91" s="38">
        <f t="shared" si="46"/>
        <v>9517.86</v>
      </c>
      <c r="K91" s="38">
        <f t="shared" si="46"/>
        <v>80901.81</v>
      </c>
      <c r="L91" s="38">
        <f t="shared" si="46"/>
        <v>1294428.96</v>
      </c>
      <c r="M91" s="38"/>
      <c r="N91" s="23"/>
      <c r="O91"/>
      <c r="P91"/>
      <c r="Q91"/>
      <c r="R91"/>
      <c r="S91"/>
      <c r="T91"/>
      <c r="U91"/>
      <c r="V91"/>
      <c r="W91"/>
      <c r="X91"/>
      <c r="Y91"/>
      <c r="Z91"/>
      <c r="AA91"/>
      <c r="AB91"/>
    </row>
    <row r="92" spans="1:28" ht="16" thickBot="1" x14ac:dyDescent="0.25"/>
    <row r="93" spans="1:28" s="10" customFormat="1" ht="16" thickBot="1" x14ac:dyDescent="0.25">
      <c r="A93" s="5" t="s">
        <v>23</v>
      </c>
      <c r="B93" s="6" t="s">
        <v>3</v>
      </c>
      <c r="C93" s="7" t="s">
        <v>4</v>
      </c>
      <c r="D93" s="51" t="s">
        <v>5</v>
      </c>
      <c r="E93" s="52"/>
      <c r="F93" s="52"/>
      <c r="G93" s="52"/>
      <c r="H93" s="52"/>
      <c r="I93" s="52"/>
      <c r="J93" s="52"/>
      <c r="K93" s="52"/>
      <c r="L93" s="52"/>
      <c r="M93" s="5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</row>
    <row r="94" spans="1:28" s="10" customFormat="1" ht="16" thickBot="1" x14ac:dyDescent="0.25">
      <c r="A94" s="11"/>
      <c r="B94" s="7">
        <v>16</v>
      </c>
      <c r="C94" s="12">
        <f>$C$1-B94</f>
        <v>8</v>
      </c>
      <c r="D94" s="6">
        <v>1</v>
      </c>
      <c r="E94" s="8">
        <f>D94+1</f>
        <v>2</v>
      </c>
      <c r="F94" s="8">
        <f t="shared" ref="F94:M94" si="47">E94+1</f>
        <v>3</v>
      </c>
      <c r="G94" s="8">
        <f t="shared" si="47"/>
        <v>4</v>
      </c>
      <c r="H94" s="8">
        <f t="shared" si="47"/>
        <v>5</v>
      </c>
      <c r="I94" s="8">
        <f t="shared" si="47"/>
        <v>6</v>
      </c>
      <c r="J94" s="8">
        <f t="shared" si="47"/>
        <v>7</v>
      </c>
      <c r="K94" s="8">
        <f t="shared" si="47"/>
        <v>8</v>
      </c>
      <c r="L94" s="8">
        <f t="shared" si="47"/>
        <v>9</v>
      </c>
      <c r="M94" s="9">
        <f t="shared" si="47"/>
        <v>10</v>
      </c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</row>
    <row r="95" spans="1:28" s="10" customFormat="1" x14ac:dyDescent="0.2">
      <c r="C95" s="13" t="s">
        <v>6</v>
      </c>
      <c r="D95" s="5">
        <f>COMBIN($C$94,D94)/COMBIN($C$1,D94)</f>
        <v>0.33333333333333331</v>
      </c>
      <c r="E95" s="36">
        <f>COMBIN($C$94,E94)/COMBIN($C$1,E94)</f>
        <v>0.10144927536231885</v>
      </c>
      <c r="F95" s="36">
        <f>COMBIN($C$94,F94)/COMBIN($C$1,F94)</f>
        <v>2.7667984189723317E-2</v>
      </c>
      <c r="G95" s="36">
        <f>COMBIN($C$94,G94)/COMBIN($C$1,G94)</f>
        <v>6.587615283267457E-3</v>
      </c>
      <c r="H95" s="36">
        <f>COMBIN($C$94,H94)/COMBIN($C$1,H94)</f>
        <v>1.3175230566534917E-3</v>
      </c>
      <c r="I95" s="36">
        <f>COMBIN($C$94,I94)/COMBIN($C$1,I94)</f>
        <v>2.0802995631370914E-4</v>
      </c>
      <c r="J95" s="36">
        <f>COMBIN($C$94,J94)/COMBIN($C$1,J94)</f>
        <v>2.3114439590412129E-5</v>
      </c>
      <c r="K95" s="36">
        <f>COMBIN($C$94,K94)/COMBIN($C$1,K94)</f>
        <v>1.3596729170830664E-6</v>
      </c>
      <c r="L95" s="36"/>
      <c r="M95" s="16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</row>
    <row r="96" spans="1:28" s="10" customFormat="1" x14ac:dyDescent="0.2">
      <c r="C96" s="17" t="s">
        <v>7</v>
      </c>
      <c r="D96" s="35">
        <f>1/D95</f>
        <v>3</v>
      </c>
      <c r="E96" s="48">
        <f t="shared" ref="E96:K96" si="48">1/E95</f>
        <v>9.8571428571428559</v>
      </c>
      <c r="F96" s="48">
        <f t="shared" si="48"/>
        <v>36.142857142857146</v>
      </c>
      <c r="G96" s="48">
        <f t="shared" si="48"/>
        <v>151.80000000000001</v>
      </c>
      <c r="H96" s="48">
        <f t="shared" si="48"/>
        <v>758.99999999999989</v>
      </c>
      <c r="I96" s="48">
        <f t="shared" si="48"/>
        <v>4807.0000000000009</v>
      </c>
      <c r="J96" s="48">
        <f t="shared" si="48"/>
        <v>43263</v>
      </c>
      <c r="K96" s="48">
        <f t="shared" si="48"/>
        <v>735471</v>
      </c>
      <c r="L96" s="48"/>
      <c r="M96" s="12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</row>
    <row r="97" spans="1:28" s="10" customFormat="1" ht="16" thickBot="1" x14ac:dyDescent="0.25">
      <c r="C97" s="20" t="s">
        <v>8</v>
      </c>
      <c r="D97" s="11">
        <f>$F$1*D96</f>
        <v>2.9699999999999998</v>
      </c>
      <c r="E97" s="38">
        <f t="shared" ref="E97:K97" si="49">$F$1*E96</f>
        <v>9.7585714285714271</v>
      </c>
      <c r="F97" s="38">
        <f t="shared" si="49"/>
        <v>35.781428571428577</v>
      </c>
      <c r="G97" s="38">
        <f t="shared" si="49"/>
        <v>150.28200000000001</v>
      </c>
      <c r="H97" s="38">
        <f t="shared" si="49"/>
        <v>751.40999999999985</v>
      </c>
      <c r="I97" s="38">
        <f t="shared" si="49"/>
        <v>4758.9300000000012</v>
      </c>
      <c r="J97" s="38">
        <f t="shared" si="49"/>
        <v>42830.37</v>
      </c>
      <c r="K97" s="38">
        <f t="shared" si="49"/>
        <v>728116.29</v>
      </c>
      <c r="L97" s="38"/>
      <c r="M97" s="23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</row>
    <row r="98" spans="1:28" ht="16" thickBot="1" x14ac:dyDescent="0.25"/>
    <row r="99" spans="1:28" s="10" customFormat="1" ht="16" thickBot="1" x14ac:dyDescent="0.25">
      <c r="A99" s="5" t="s">
        <v>24</v>
      </c>
      <c r="B99" s="6" t="s">
        <v>3</v>
      </c>
      <c r="C99" s="7" t="s">
        <v>4</v>
      </c>
      <c r="D99" s="51" t="s">
        <v>5</v>
      </c>
      <c r="E99" s="52"/>
      <c r="F99" s="52"/>
      <c r="G99" s="52"/>
      <c r="H99" s="52"/>
      <c r="I99" s="52"/>
      <c r="J99" s="52"/>
      <c r="K99" s="52"/>
      <c r="L99" s="53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</row>
    <row r="100" spans="1:28" s="10" customFormat="1" ht="16" thickBot="1" x14ac:dyDescent="0.25">
      <c r="A100" s="11"/>
      <c r="B100" s="7">
        <v>17</v>
      </c>
      <c r="C100" s="12">
        <f>$C$1-B100</f>
        <v>7</v>
      </c>
      <c r="D100" s="6">
        <v>1</v>
      </c>
      <c r="E100" s="8">
        <f>D100+1</f>
        <v>2</v>
      </c>
      <c r="F100" s="8">
        <f t="shared" ref="F100:L100" si="50">E100+1</f>
        <v>3</v>
      </c>
      <c r="G100" s="8">
        <f t="shared" si="50"/>
        <v>4</v>
      </c>
      <c r="H100" s="8">
        <f t="shared" si="50"/>
        <v>5</v>
      </c>
      <c r="I100" s="8">
        <f t="shared" si="50"/>
        <v>6</v>
      </c>
      <c r="J100" s="8">
        <f t="shared" si="50"/>
        <v>7</v>
      </c>
      <c r="K100" s="8">
        <f t="shared" si="50"/>
        <v>8</v>
      </c>
      <c r="L100" s="9">
        <f t="shared" si="50"/>
        <v>9</v>
      </c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</row>
    <row r="101" spans="1:28" s="10" customFormat="1" x14ac:dyDescent="0.2">
      <c r="C101" s="13" t="s">
        <v>6</v>
      </c>
      <c r="D101" s="5">
        <f>COMBIN($C$100,D100)/COMBIN($C$1,D100)</f>
        <v>0.29166666666666669</v>
      </c>
      <c r="E101" s="36">
        <f>COMBIN($C$100,E100)/COMBIN($C$1,E100)</f>
        <v>7.6086956521739135E-2</v>
      </c>
      <c r="F101" s="36">
        <f>COMBIN($C$100,F100)/COMBIN($C$1,F100)</f>
        <v>1.7292490118577072E-2</v>
      </c>
      <c r="G101" s="36">
        <f>COMBIN($C$100,G100)/COMBIN($C$1,G100)</f>
        <v>3.2938076416337285E-3</v>
      </c>
      <c r="H101" s="36">
        <f>COMBIN($C$100,H100)/COMBIN($C$1,H100)</f>
        <v>4.9407114624505936E-4</v>
      </c>
      <c r="I101" s="36">
        <f>COMBIN($C$100,I100)/COMBIN($C$1,I100)</f>
        <v>5.2007489078427285E-5</v>
      </c>
      <c r="J101" s="36">
        <f>COMBIN($C$100,J100)/COMBIN($C$1,J100)</f>
        <v>2.8893049488015161E-6</v>
      </c>
      <c r="K101" s="36"/>
      <c r="L101" s="16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</row>
    <row r="102" spans="1:28" s="10" customFormat="1" x14ac:dyDescent="0.2">
      <c r="C102" s="17" t="s">
        <v>7</v>
      </c>
      <c r="D102" s="37">
        <f>1/D101</f>
        <v>3.4285714285714284</v>
      </c>
      <c r="E102" s="10">
        <f t="shared" ref="E102:J102" si="51">1/E101</f>
        <v>13.142857142857142</v>
      </c>
      <c r="F102" s="10">
        <f t="shared" si="51"/>
        <v>57.828571428571436</v>
      </c>
      <c r="G102" s="10">
        <f t="shared" si="51"/>
        <v>303.60000000000002</v>
      </c>
      <c r="H102" s="10">
        <f t="shared" si="51"/>
        <v>2023.9999999999998</v>
      </c>
      <c r="I102" s="10">
        <f t="shared" si="51"/>
        <v>19228.000000000004</v>
      </c>
      <c r="J102" s="10">
        <f t="shared" si="51"/>
        <v>346104</v>
      </c>
      <c r="L102" s="1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</row>
    <row r="103" spans="1:28" s="10" customFormat="1" ht="16" thickBot="1" x14ac:dyDescent="0.25">
      <c r="C103" s="20" t="s">
        <v>8</v>
      </c>
      <c r="D103" s="11">
        <f>$F$1*D102</f>
        <v>3.3942857142857141</v>
      </c>
      <c r="E103" s="38">
        <f t="shared" ref="E103:J103" si="52">$F$1*E102</f>
        <v>13.011428571428571</v>
      </c>
      <c r="F103" s="38">
        <f t="shared" si="52"/>
        <v>57.250285714285724</v>
      </c>
      <c r="G103" s="38">
        <f t="shared" si="52"/>
        <v>300.56400000000002</v>
      </c>
      <c r="H103" s="38">
        <f t="shared" si="52"/>
        <v>2003.7599999999998</v>
      </c>
      <c r="I103" s="38">
        <f t="shared" si="52"/>
        <v>19035.720000000005</v>
      </c>
      <c r="J103" s="38">
        <f t="shared" si="52"/>
        <v>342642.96</v>
      </c>
      <c r="K103" s="38"/>
      <c r="L103" s="2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</row>
    <row r="104" spans="1:28" ht="16" thickBot="1" x14ac:dyDescent="0.25"/>
    <row r="105" spans="1:28" s="10" customFormat="1" ht="16" thickBot="1" x14ac:dyDescent="0.25">
      <c r="A105" s="5" t="s">
        <v>25</v>
      </c>
      <c r="B105" s="6" t="s">
        <v>3</v>
      </c>
      <c r="C105" s="7" t="s">
        <v>4</v>
      </c>
      <c r="D105" s="51" t="s">
        <v>5</v>
      </c>
      <c r="E105" s="52"/>
      <c r="F105" s="52"/>
      <c r="G105" s="52"/>
      <c r="H105" s="52"/>
      <c r="I105" s="52"/>
      <c r="J105" s="52"/>
      <c r="K105" s="53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</row>
    <row r="106" spans="1:28" s="10" customFormat="1" ht="16" thickBot="1" x14ac:dyDescent="0.25">
      <c r="A106" s="11"/>
      <c r="B106" s="7">
        <v>18</v>
      </c>
      <c r="C106" s="12">
        <f>$C$1-B106</f>
        <v>6</v>
      </c>
      <c r="D106" s="6">
        <v>1</v>
      </c>
      <c r="E106" s="8">
        <f>D106+1</f>
        <v>2</v>
      </c>
      <c r="F106" s="8">
        <f t="shared" ref="F106:K106" si="53">E106+1</f>
        <v>3</v>
      </c>
      <c r="G106" s="8">
        <f t="shared" si="53"/>
        <v>4</v>
      </c>
      <c r="H106" s="8">
        <f t="shared" si="53"/>
        <v>5</v>
      </c>
      <c r="I106" s="8">
        <f t="shared" si="53"/>
        <v>6</v>
      </c>
      <c r="J106" s="8">
        <f t="shared" si="53"/>
        <v>7</v>
      </c>
      <c r="K106" s="9">
        <f t="shared" si="53"/>
        <v>8</v>
      </c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</row>
    <row r="107" spans="1:28" s="10" customFormat="1" x14ac:dyDescent="0.2">
      <c r="C107" s="13" t="s">
        <v>6</v>
      </c>
      <c r="D107" s="5">
        <f>COMBIN($C$106,D106)/COMBIN($C$1,D106)</f>
        <v>0.25</v>
      </c>
      <c r="E107" s="36">
        <f>COMBIN($C$106,E106)/COMBIN($C$1,E106)</f>
        <v>5.434782608695652E-2</v>
      </c>
      <c r="F107" s="34">
        <f>COMBIN($C$106,F106)/COMBIN($C$1,F106)</f>
        <v>9.8814229249011842E-3</v>
      </c>
      <c r="G107" s="34">
        <f>COMBIN($C$106,G106)/COMBIN($C$1,G106)</f>
        <v>1.411631846414455E-3</v>
      </c>
      <c r="H107" s="34">
        <f>COMBIN($C$106,H106)/COMBIN($C$1,H106)</f>
        <v>1.4116318464144553E-4</v>
      </c>
      <c r="I107" s="36">
        <f>COMBIN($C$106,I106)/COMBIN($C$1,I106)</f>
        <v>7.4296412969181836E-6</v>
      </c>
      <c r="J107" s="36"/>
      <c r="K107" s="16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</row>
    <row r="108" spans="1:28" s="10" customFormat="1" x14ac:dyDescent="0.2">
      <c r="C108" s="17" t="s">
        <v>7</v>
      </c>
      <c r="D108" s="40">
        <f>1/D107</f>
        <v>4</v>
      </c>
      <c r="E108" s="41">
        <f t="shared" ref="E108:I108" si="54">1/E107</f>
        <v>18.400000000000002</v>
      </c>
      <c r="F108" s="41">
        <f t="shared" si="54"/>
        <v>101.20000000000002</v>
      </c>
      <c r="G108" s="41">
        <f t="shared" si="54"/>
        <v>708.40000000000009</v>
      </c>
      <c r="H108" s="41">
        <f t="shared" si="54"/>
        <v>7083.9999999999991</v>
      </c>
      <c r="I108" s="49">
        <f t="shared" si="54"/>
        <v>134596.00000000003</v>
      </c>
      <c r="J108" s="49"/>
      <c r="K108" s="12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</row>
    <row r="109" spans="1:28" s="10" customFormat="1" ht="16" thickBot="1" x14ac:dyDescent="0.25">
      <c r="C109" s="20" t="s">
        <v>8</v>
      </c>
      <c r="D109" s="30">
        <f>$F$1*D108</f>
        <v>3.96</v>
      </c>
      <c r="E109" s="31">
        <f t="shared" ref="E109:I109" si="55">$F$1*E108</f>
        <v>18.216000000000001</v>
      </c>
      <c r="F109" s="31">
        <f t="shared" si="55"/>
        <v>100.18800000000002</v>
      </c>
      <c r="G109" s="31">
        <f t="shared" si="55"/>
        <v>701.31600000000003</v>
      </c>
      <c r="H109" s="31">
        <f t="shared" si="55"/>
        <v>7013.1599999999989</v>
      </c>
      <c r="I109" s="50">
        <f t="shared" si="55"/>
        <v>133250.04000000004</v>
      </c>
      <c r="J109" s="50"/>
      <c r="K109" s="23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</row>
    <row r="110" spans="1:28" ht="16" thickBot="1" x14ac:dyDescent="0.25"/>
    <row r="111" spans="1:28" s="10" customFormat="1" ht="16" thickBot="1" x14ac:dyDescent="0.25">
      <c r="A111" s="5" t="s">
        <v>26</v>
      </c>
      <c r="B111" s="6" t="s">
        <v>3</v>
      </c>
      <c r="C111" s="7" t="s">
        <v>4</v>
      </c>
      <c r="D111" s="51" t="s">
        <v>5</v>
      </c>
      <c r="E111" s="52"/>
      <c r="F111" s="52"/>
      <c r="G111" s="52"/>
      <c r="H111" s="52"/>
      <c r="I111" s="52"/>
      <c r="J111" s="53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</row>
    <row r="112" spans="1:28" s="10" customFormat="1" ht="16" thickBot="1" x14ac:dyDescent="0.25">
      <c r="A112" s="11"/>
      <c r="B112" s="7">
        <v>19</v>
      </c>
      <c r="C112" s="12">
        <f>$C$1-B112</f>
        <v>5</v>
      </c>
      <c r="D112" s="6">
        <v>1</v>
      </c>
      <c r="E112" s="8">
        <f>D112+1</f>
        <v>2</v>
      </c>
      <c r="F112" s="8">
        <f t="shared" ref="F112:J112" si="56">E112+1</f>
        <v>3</v>
      </c>
      <c r="G112" s="8">
        <f t="shared" si="56"/>
        <v>4</v>
      </c>
      <c r="H112" s="8">
        <f t="shared" si="56"/>
        <v>5</v>
      </c>
      <c r="I112" s="8">
        <f t="shared" si="56"/>
        <v>6</v>
      </c>
      <c r="J112" s="9">
        <f t="shared" si="56"/>
        <v>7</v>
      </c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</row>
    <row r="113" spans="1:28" s="10" customFormat="1" x14ac:dyDescent="0.2">
      <c r="C113" s="13" t="s">
        <v>6</v>
      </c>
      <c r="D113" s="5">
        <f>COMBIN($C$112,D112)/COMBIN($C$1,D112)</f>
        <v>0.20833333333333334</v>
      </c>
      <c r="E113" s="36">
        <f>COMBIN($C$112,E112)/COMBIN($C$1,E112)</f>
        <v>3.6231884057971016E-2</v>
      </c>
      <c r="F113" s="34">
        <f>COMBIN($C$112,F112)/COMBIN($C$1,F112)</f>
        <v>4.9407114624505921E-3</v>
      </c>
      <c r="G113" s="34">
        <f>COMBIN($C$112,G112)/COMBIN($C$1,G112)</f>
        <v>4.7054394880481837E-4</v>
      </c>
      <c r="H113" s="34">
        <f>COMBIN($C$112,H112)/COMBIN($C$1,H112)</f>
        <v>2.3527197440240921E-5</v>
      </c>
      <c r="I113" s="36"/>
      <c r="J113" s="16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</row>
    <row r="114" spans="1:28" s="10" customFormat="1" x14ac:dyDescent="0.2">
      <c r="C114" s="17" t="s">
        <v>7</v>
      </c>
      <c r="D114" s="18">
        <f>1/D113</f>
        <v>4.8</v>
      </c>
      <c r="E114" s="49">
        <f t="shared" ref="E114:H114" si="57">1/E113</f>
        <v>27.599999999999998</v>
      </c>
      <c r="F114" s="10">
        <f t="shared" si="57"/>
        <v>202.40000000000003</v>
      </c>
      <c r="G114" s="10">
        <f t="shared" si="57"/>
        <v>2125.1999999999998</v>
      </c>
      <c r="H114" s="10">
        <f t="shared" si="57"/>
        <v>42503.999999999993</v>
      </c>
      <c r="J114" s="12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</row>
    <row r="115" spans="1:28" s="10" customFormat="1" ht="16" thickBot="1" x14ac:dyDescent="0.25">
      <c r="C115" s="20" t="s">
        <v>8</v>
      </c>
      <c r="D115" s="11">
        <f>$F$1*D114</f>
        <v>4.7519999999999998</v>
      </c>
      <c r="E115" s="38">
        <f t="shared" ref="E115:H115" si="58">$F$1*E114</f>
        <v>27.323999999999998</v>
      </c>
      <c r="F115" s="38">
        <f t="shared" si="58"/>
        <v>200.37600000000003</v>
      </c>
      <c r="G115" s="38">
        <f t="shared" si="58"/>
        <v>2103.9479999999999</v>
      </c>
      <c r="H115" s="38">
        <f t="shared" si="58"/>
        <v>42078.959999999992</v>
      </c>
      <c r="I115" s="38"/>
      <c r="J115" s="23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</row>
    <row r="116" spans="1:28" ht="16" thickBot="1" x14ac:dyDescent="0.25"/>
    <row r="117" spans="1:28" s="10" customFormat="1" ht="16" thickBot="1" x14ac:dyDescent="0.25">
      <c r="A117" s="5" t="s">
        <v>27</v>
      </c>
      <c r="B117" s="6" t="s">
        <v>3</v>
      </c>
      <c r="C117" s="7" t="s">
        <v>4</v>
      </c>
      <c r="D117" s="51" t="s">
        <v>5</v>
      </c>
      <c r="E117" s="52"/>
      <c r="F117" s="52"/>
      <c r="G117" s="52"/>
      <c r="H117" s="52"/>
      <c r="I117" s="53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</row>
    <row r="118" spans="1:28" s="10" customFormat="1" ht="16" thickBot="1" x14ac:dyDescent="0.25">
      <c r="A118" s="11"/>
      <c r="B118" s="7">
        <v>20</v>
      </c>
      <c r="C118" s="12">
        <f>$C$1-B118</f>
        <v>4</v>
      </c>
      <c r="D118" s="6">
        <v>1</v>
      </c>
      <c r="E118" s="8">
        <f>D118+1</f>
        <v>2</v>
      </c>
      <c r="F118" s="8">
        <f t="shared" ref="F118:I118" si="59">E118+1</f>
        <v>3</v>
      </c>
      <c r="G118" s="8">
        <f t="shared" si="59"/>
        <v>4</v>
      </c>
      <c r="H118" s="8">
        <f t="shared" si="59"/>
        <v>5</v>
      </c>
      <c r="I118" s="9">
        <f t="shared" si="59"/>
        <v>6</v>
      </c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</row>
    <row r="119" spans="1:28" s="10" customFormat="1" x14ac:dyDescent="0.2">
      <c r="C119" s="13" t="s">
        <v>6</v>
      </c>
      <c r="D119" s="33">
        <f>COMBIN($C$118,D118)/COMBIN($C$1,D118)</f>
        <v>0.16666666666666666</v>
      </c>
      <c r="E119" s="36">
        <f>COMBIN($C$118,E118)/COMBIN($C$1,E118)</f>
        <v>2.1739130434782608E-2</v>
      </c>
      <c r="F119" s="36">
        <f>COMBIN($C$118,F118)/COMBIN($C$1,F118)</f>
        <v>1.976284584980237E-3</v>
      </c>
      <c r="G119" s="36">
        <f>COMBIN($C$118,G118)/COMBIN($C$1,G118)</f>
        <v>9.4108789760963672E-5</v>
      </c>
      <c r="H119" s="36"/>
      <c r="I119" s="16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</row>
    <row r="120" spans="1:28" s="10" customFormat="1" x14ac:dyDescent="0.2">
      <c r="C120" s="17" t="s">
        <v>7</v>
      </c>
      <c r="D120" s="37">
        <f>1/D119</f>
        <v>6</v>
      </c>
      <c r="E120" s="10">
        <f t="shared" ref="E120:G120" si="60">1/E119</f>
        <v>46</v>
      </c>
      <c r="F120" s="10">
        <f t="shared" si="60"/>
        <v>506.00000000000006</v>
      </c>
      <c r="G120" s="10">
        <f t="shared" si="60"/>
        <v>10626</v>
      </c>
      <c r="I120" s="12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</row>
    <row r="121" spans="1:28" s="10" customFormat="1" ht="16" thickBot="1" x14ac:dyDescent="0.25">
      <c r="C121" s="20" t="s">
        <v>8</v>
      </c>
      <c r="D121" s="11">
        <f>$F$1*D120</f>
        <v>5.9399999999999995</v>
      </c>
      <c r="E121" s="38">
        <f t="shared" ref="E121:G121" si="61">$F$1*E120</f>
        <v>45.54</v>
      </c>
      <c r="F121" s="38">
        <f t="shared" si="61"/>
        <v>500.94000000000005</v>
      </c>
      <c r="G121" s="38">
        <f t="shared" si="61"/>
        <v>10519.74</v>
      </c>
      <c r="H121" s="38"/>
      <c r="I121" s="23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</row>
    <row r="122" spans="1:28" ht="16" thickBot="1" x14ac:dyDescent="0.25"/>
    <row r="123" spans="1:28" s="10" customFormat="1" ht="16" thickBot="1" x14ac:dyDescent="0.25">
      <c r="A123" s="5" t="s">
        <v>28</v>
      </c>
      <c r="B123" s="6" t="s">
        <v>3</v>
      </c>
      <c r="C123" s="7" t="s">
        <v>4</v>
      </c>
      <c r="D123" s="51" t="s">
        <v>5</v>
      </c>
      <c r="E123" s="52"/>
      <c r="F123" s="52"/>
      <c r="G123" s="52"/>
      <c r="H123" s="5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</row>
    <row r="124" spans="1:28" s="10" customFormat="1" ht="16" thickBot="1" x14ac:dyDescent="0.25">
      <c r="A124" s="11"/>
      <c r="B124" s="7">
        <v>21</v>
      </c>
      <c r="C124" s="12">
        <f>$C$1-B124</f>
        <v>3</v>
      </c>
      <c r="D124" s="6">
        <v>1</v>
      </c>
      <c r="E124" s="8">
        <f>D124+1</f>
        <v>2</v>
      </c>
      <c r="F124" s="8">
        <f t="shared" ref="F124:H124" si="62">E124+1</f>
        <v>3</v>
      </c>
      <c r="G124" s="8">
        <f t="shared" si="62"/>
        <v>4</v>
      </c>
      <c r="H124" s="9">
        <f t="shared" si="62"/>
        <v>5</v>
      </c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</row>
    <row r="125" spans="1:28" s="10" customFormat="1" x14ac:dyDescent="0.2">
      <c r="C125" s="13" t="s">
        <v>6</v>
      </c>
      <c r="D125" s="5">
        <f>COMBIN($C$124,D124)/COMBIN($C$1,D124)</f>
        <v>0.125</v>
      </c>
      <c r="E125" s="36">
        <f>COMBIN($C$124,E124)/COMBIN($C$1,E124)</f>
        <v>1.0869565217391304E-2</v>
      </c>
      <c r="F125" s="36">
        <f>COMBIN($C$124,F124)/COMBIN($C$1,F124)</f>
        <v>4.9407114624505926E-4</v>
      </c>
      <c r="G125" s="36"/>
      <c r="H125" s="16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</row>
    <row r="126" spans="1:28" s="10" customFormat="1" x14ac:dyDescent="0.2">
      <c r="C126" s="17" t="s">
        <v>7</v>
      </c>
      <c r="D126" s="37">
        <f>1/D125</f>
        <v>8</v>
      </c>
      <c r="E126" s="10">
        <f t="shared" ref="E126:F126" si="63">1/E125</f>
        <v>92</v>
      </c>
      <c r="F126" s="10">
        <f t="shared" si="63"/>
        <v>2024.0000000000002</v>
      </c>
      <c r="H126" s="12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</row>
    <row r="127" spans="1:28" s="10" customFormat="1" ht="16" thickBot="1" x14ac:dyDescent="0.25">
      <c r="C127" s="20" t="s">
        <v>8</v>
      </c>
      <c r="D127" s="11">
        <f>$F$1*D126</f>
        <v>7.92</v>
      </c>
      <c r="E127" s="38">
        <f t="shared" ref="E127:F127" si="64">$F$1*E126</f>
        <v>91.08</v>
      </c>
      <c r="F127" s="38">
        <f t="shared" si="64"/>
        <v>2003.7600000000002</v>
      </c>
      <c r="G127" s="38"/>
      <c r="H127" s="23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</row>
    <row r="128" spans="1:28" ht="16" thickBot="1" x14ac:dyDescent="0.25"/>
    <row r="129" spans="1:28" s="10" customFormat="1" ht="16" thickBot="1" x14ac:dyDescent="0.25">
      <c r="A129" s="5" t="s">
        <v>29</v>
      </c>
      <c r="B129" s="6" t="s">
        <v>3</v>
      </c>
      <c r="C129" s="7" t="s">
        <v>4</v>
      </c>
      <c r="D129" s="51" t="s">
        <v>5</v>
      </c>
      <c r="E129" s="52"/>
      <c r="F129" s="52"/>
      <c r="G129" s="53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</row>
    <row r="130" spans="1:28" s="10" customFormat="1" ht="16" thickBot="1" x14ac:dyDescent="0.25">
      <c r="A130" s="11"/>
      <c r="B130" s="7">
        <v>22</v>
      </c>
      <c r="C130" s="12">
        <f>$C$1-B130</f>
        <v>2</v>
      </c>
      <c r="D130" s="6">
        <v>1</v>
      </c>
      <c r="E130" s="8">
        <f>D130+1</f>
        <v>2</v>
      </c>
      <c r="F130" s="8">
        <f t="shared" ref="F130:G130" si="65">E130+1</f>
        <v>3</v>
      </c>
      <c r="G130" s="9">
        <f t="shared" si="65"/>
        <v>4</v>
      </c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</row>
    <row r="131" spans="1:28" s="10" customFormat="1" x14ac:dyDescent="0.2">
      <c r="C131" s="13" t="s">
        <v>6</v>
      </c>
      <c r="D131" s="5">
        <f>COMBIN($C$130,D130)/COMBIN($C$1,D130)</f>
        <v>8.3333333333333329E-2</v>
      </c>
      <c r="E131" s="36">
        <f>COMBIN($C$130,E130)/COMBIN($C$1,E130)</f>
        <v>3.6231884057971015E-3</v>
      </c>
      <c r="F131" s="36"/>
      <c r="G131" s="16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</row>
    <row r="132" spans="1:28" s="10" customFormat="1" x14ac:dyDescent="0.2">
      <c r="C132" s="17" t="s">
        <v>7</v>
      </c>
      <c r="D132" s="37">
        <f>1/D131</f>
        <v>12</v>
      </c>
      <c r="E132" s="10">
        <f t="shared" ref="E132" si="66">1/E131</f>
        <v>276</v>
      </c>
      <c r="G132" s="1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</row>
    <row r="133" spans="1:28" s="10" customFormat="1" ht="16" thickBot="1" x14ac:dyDescent="0.25">
      <c r="C133" s="20" t="s">
        <v>8</v>
      </c>
      <c r="D133" s="11">
        <f>$F$1*D132</f>
        <v>11.879999999999999</v>
      </c>
      <c r="E133" s="38">
        <f t="shared" ref="E133" si="67">$F$1*E132</f>
        <v>273.24</v>
      </c>
      <c r="F133" s="38"/>
      <c r="G133" s="2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</row>
    <row r="134" spans="1:28" ht="16" thickBot="1" x14ac:dyDescent="0.25"/>
    <row r="135" spans="1:28" s="10" customFormat="1" ht="16" thickBot="1" x14ac:dyDescent="0.25">
      <c r="A135" s="5" t="s">
        <v>30</v>
      </c>
      <c r="B135" s="6" t="s">
        <v>3</v>
      </c>
      <c r="C135" s="7" t="s">
        <v>4</v>
      </c>
      <c r="D135" s="51" t="s">
        <v>5</v>
      </c>
      <c r="E135" s="52"/>
      <c r="F135" s="53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</row>
    <row r="136" spans="1:28" s="10" customFormat="1" ht="16" thickBot="1" x14ac:dyDescent="0.25">
      <c r="A136" s="11"/>
      <c r="B136" s="7">
        <v>23</v>
      </c>
      <c r="C136" s="12">
        <f>$C$1-B136</f>
        <v>1</v>
      </c>
      <c r="D136" s="6">
        <v>1</v>
      </c>
      <c r="E136" s="8">
        <f>D136+1</f>
        <v>2</v>
      </c>
      <c r="F136" s="9">
        <f t="shared" ref="F136" si="68">E136+1</f>
        <v>3</v>
      </c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</row>
    <row r="137" spans="1:28" s="10" customFormat="1" x14ac:dyDescent="0.2">
      <c r="C137" s="13" t="s">
        <v>6</v>
      </c>
      <c r="D137" s="5">
        <f>COMBIN($C$136,D136)/COMBIN($C$1,D136)</f>
        <v>4.1666666666666664E-2</v>
      </c>
      <c r="E137" s="36"/>
      <c r="F137" s="16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</row>
    <row r="138" spans="1:28" s="10" customFormat="1" x14ac:dyDescent="0.2">
      <c r="C138" s="17" t="s">
        <v>7</v>
      </c>
      <c r="D138" s="37">
        <f>1/D137</f>
        <v>24</v>
      </c>
      <c r="F138" s="12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</row>
    <row r="139" spans="1:28" s="10" customFormat="1" ht="16" thickBot="1" x14ac:dyDescent="0.25">
      <c r="C139" s="20" t="s">
        <v>8</v>
      </c>
      <c r="D139" s="11">
        <f>$F$1*D138</f>
        <v>23.759999999999998</v>
      </c>
      <c r="E139" s="38"/>
      <c r="F139" s="23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</row>
    <row r="140" spans="1:28" ht="16" thickBot="1" x14ac:dyDescent="0.25"/>
    <row r="141" spans="1:28" ht="16" thickBot="1" x14ac:dyDescent="0.25">
      <c r="A141" s="5" t="s">
        <v>31</v>
      </c>
      <c r="B141" s="6" t="s">
        <v>3</v>
      </c>
      <c r="C141" s="7" t="s">
        <v>4</v>
      </c>
      <c r="D141" s="1" t="s">
        <v>5</v>
      </c>
      <c r="E141" s="2"/>
    </row>
    <row r="142" spans="1:28" ht="16" thickBot="1" x14ac:dyDescent="0.25">
      <c r="A142" s="11"/>
      <c r="B142" s="7">
        <v>24</v>
      </c>
      <c r="C142" s="12">
        <f>$C$1-B142</f>
        <v>0</v>
      </c>
      <c r="D142" s="6">
        <v>1</v>
      </c>
      <c r="E142" s="9">
        <f>D142+1</f>
        <v>2</v>
      </c>
    </row>
    <row r="143" spans="1:28" x14ac:dyDescent="0.2">
      <c r="A143" s="10"/>
      <c r="B143" s="10"/>
      <c r="C143" s="13" t="s">
        <v>6</v>
      </c>
      <c r="D143" s="5"/>
      <c r="E143" s="16"/>
    </row>
    <row r="144" spans="1:28" x14ac:dyDescent="0.2">
      <c r="A144" s="10"/>
      <c r="B144" s="10"/>
      <c r="C144" s="17" t="s">
        <v>7</v>
      </c>
      <c r="D144" s="37"/>
      <c r="E144" s="12"/>
    </row>
    <row r="145" spans="1:5" ht="16" thickBot="1" x14ac:dyDescent="0.25">
      <c r="A145" s="10"/>
      <c r="B145" s="10"/>
      <c r="C145" s="20" t="s">
        <v>8</v>
      </c>
      <c r="D145" s="11"/>
      <c r="E145" s="23"/>
    </row>
  </sheetData>
  <mergeCells count="23">
    <mergeCell ref="D33:W33"/>
    <mergeCell ref="D3:AB3"/>
    <mergeCell ref="D9:AA9"/>
    <mergeCell ref="D15:Z15"/>
    <mergeCell ref="D21:Y21"/>
    <mergeCell ref="D27:X27"/>
    <mergeCell ref="D105:K105"/>
    <mergeCell ref="D39:V39"/>
    <mergeCell ref="D45:U45"/>
    <mergeCell ref="D51:T51"/>
    <mergeCell ref="D57:S57"/>
    <mergeCell ref="D63:R63"/>
    <mergeCell ref="D69:Q69"/>
    <mergeCell ref="D75:P75"/>
    <mergeCell ref="D81:O81"/>
    <mergeCell ref="D87:N87"/>
    <mergeCell ref="D93:M93"/>
    <mergeCell ref="D99:L99"/>
    <mergeCell ref="D111:J111"/>
    <mergeCell ref="D117:I117"/>
    <mergeCell ref="D123:H123"/>
    <mergeCell ref="D129:G129"/>
    <mergeCell ref="D135:F1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Mine_93</vt:lpstr>
      <vt:lpstr>Mine_95</vt:lpstr>
      <vt:lpstr>Mine_97</vt:lpstr>
      <vt:lpstr>Mine_99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Rimziiii</dc:creator>
  <cp:lastModifiedBy>Arghya Chanda</cp:lastModifiedBy>
  <dcterms:created xsi:type="dcterms:W3CDTF">2024-12-22T15:49:23Z</dcterms:created>
  <dcterms:modified xsi:type="dcterms:W3CDTF">2025-01-11T18:23:18Z</dcterms:modified>
</cp:coreProperties>
</file>