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rghyac35/Downloads/"/>
    </mc:Choice>
  </mc:AlternateContent>
  <xr:revisionPtr revIDLastSave="0" documentId="13_ncr:1_{0D214F0F-1C51-6840-8654-A27318ECE87E}" xr6:coauthVersionLast="47" xr6:coauthVersionMax="47" xr10:uidLastSave="{00000000-0000-0000-0000-000000000000}"/>
  <bookViews>
    <workbookView xWindow="38400" yWindow="1660" windowWidth="33340" windowHeight="18800" activeTab="1" xr2:uid="{959D763B-52BE-4507-B31C-933CB76EE513}"/>
  </bookViews>
  <sheets>
    <sheet name="Limbo_4RTPCombined" sheetId="1" r:id="rId1"/>
    <sheet name="Mine_93" sheetId="2" r:id="rId2"/>
    <sheet name="Mine_95" sheetId="5" r:id="rId3"/>
    <sheet name="Mine_97" sheetId="6" r:id="rId4"/>
    <sheet name="Mine_99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N150" i="2"/>
  <c r="L150" i="2"/>
  <c r="K150" i="2"/>
  <c r="M150" i="2" s="1"/>
  <c r="E142" i="7"/>
  <c r="C142" i="7"/>
  <c r="D143" i="7" s="1"/>
  <c r="D144" i="7" s="1"/>
  <c r="D145" i="7" s="1"/>
  <c r="E136" i="7"/>
  <c r="F136" i="7" s="1"/>
  <c r="C136" i="7"/>
  <c r="E137" i="7" s="1"/>
  <c r="E138" i="7" s="1"/>
  <c r="E139" i="7" s="1"/>
  <c r="E130" i="7"/>
  <c r="F130" i="7" s="1"/>
  <c r="G130" i="7" s="1"/>
  <c r="C130" i="7"/>
  <c r="D131" i="7" s="1"/>
  <c r="D132" i="7" s="1"/>
  <c r="D133" i="7" s="1"/>
  <c r="E124" i="7"/>
  <c r="F124" i="7" s="1"/>
  <c r="G124" i="7" s="1"/>
  <c r="H124" i="7" s="1"/>
  <c r="C124" i="7"/>
  <c r="G125" i="7" s="1"/>
  <c r="G126" i="7" s="1"/>
  <c r="G127" i="7" s="1"/>
  <c r="E118" i="7"/>
  <c r="F118" i="7" s="1"/>
  <c r="G118" i="7" s="1"/>
  <c r="H118" i="7" s="1"/>
  <c r="C118" i="7"/>
  <c r="E112" i="7"/>
  <c r="F112" i="7" s="1"/>
  <c r="C112" i="7"/>
  <c r="D107" i="7"/>
  <c r="D108" i="7" s="1"/>
  <c r="D109" i="7" s="1"/>
  <c r="E106" i="7"/>
  <c r="F106" i="7" s="1"/>
  <c r="G106" i="7" s="1"/>
  <c r="H106" i="7" s="1"/>
  <c r="I106" i="7" s="1"/>
  <c r="J106" i="7" s="1"/>
  <c r="K106" i="7" s="1"/>
  <c r="C106" i="7"/>
  <c r="H107" i="7" s="1"/>
  <c r="H108" i="7" s="1"/>
  <c r="H109" i="7" s="1"/>
  <c r="E100" i="7"/>
  <c r="F100" i="7" s="1"/>
  <c r="G100" i="7" s="1"/>
  <c r="C100" i="7"/>
  <c r="D101" i="7" s="1"/>
  <c r="D102" i="7" s="1"/>
  <c r="D103" i="7" s="1"/>
  <c r="E94" i="7"/>
  <c r="F94" i="7" s="1"/>
  <c r="C94" i="7"/>
  <c r="D95" i="7" s="1"/>
  <c r="D96" i="7" s="1"/>
  <c r="D97" i="7" s="1"/>
  <c r="D89" i="7"/>
  <c r="D90" i="7" s="1"/>
  <c r="D91" i="7" s="1"/>
  <c r="E88" i="7"/>
  <c r="F88" i="7" s="1"/>
  <c r="G88" i="7" s="1"/>
  <c r="H88" i="7" s="1"/>
  <c r="C88" i="7"/>
  <c r="E82" i="7"/>
  <c r="F82" i="7" s="1"/>
  <c r="G82" i="7" s="1"/>
  <c r="H82" i="7" s="1"/>
  <c r="I82" i="7" s="1"/>
  <c r="J82" i="7" s="1"/>
  <c r="K82" i="7" s="1"/>
  <c r="L82" i="7" s="1"/>
  <c r="C82" i="7"/>
  <c r="D83" i="7" s="1"/>
  <c r="D84" i="7" s="1"/>
  <c r="D85" i="7" s="1"/>
  <c r="E76" i="7"/>
  <c r="F76" i="7" s="1"/>
  <c r="G76" i="7" s="1"/>
  <c r="H76" i="7" s="1"/>
  <c r="I76" i="7" s="1"/>
  <c r="J76" i="7" s="1"/>
  <c r="K76" i="7" s="1"/>
  <c r="L76" i="7" s="1"/>
  <c r="C76" i="7"/>
  <c r="D71" i="7"/>
  <c r="D72" i="7" s="1"/>
  <c r="D73" i="7" s="1"/>
  <c r="E70" i="7"/>
  <c r="F70" i="7" s="1"/>
  <c r="F71" i="7" s="1"/>
  <c r="F72" i="7" s="1"/>
  <c r="F73" i="7" s="1"/>
  <c r="C70" i="7"/>
  <c r="E64" i="7"/>
  <c r="F64" i="7" s="1"/>
  <c r="G64" i="7" s="1"/>
  <c r="H64" i="7" s="1"/>
  <c r="I64" i="7" s="1"/>
  <c r="J64" i="7" s="1"/>
  <c r="C64" i="7"/>
  <c r="D65" i="7" s="1"/>
  <c r="D66" i="7" s="1"/>
  <c r="D67" i="7" s="1"/>
  <c r="E58" i="7"/>
  <c r="F58" i="7" s="1"/>
  <c r="C58" i="7"/>
  <c r="E52" i="7"/>
  <c r="F52" i="7" s="1"/>
  <c r="G52" i="7" s="1"/>
  <c r="H52" i="7" s="1"/>
  <c r="I52" i="7" s="1"/>
  <c r="J52" i="7" s="1"/>
  <c r="C52" i="7"/>
  <c r="I53" i="7" s="1"/>
  <c r="I54" i="7" s="1"/>
  <c r="I55" i="7" s="1"/>
  <c r="E46" i="7"/>
  <c r="F46" i="7" s="1"/>
  <c r="G46" i="7" s="1"/>
  <c r="H46" i="7" s="1"/>
  <c r="I46" i="7" s="1"/>
  <c r="J46" i="7" s="1"/>
  <c r="K46" i="7" s="1"/>
  <c r="L46" i="7" s="1"/>
  <c r="C46" i="7"/>
  <c r="E47" i="7" s="1"/>
  <c r="E48" i="7" s="1"/>
  <c r="E49" i="7" s="1"/>
  <c r="D41" i="7"/>
  <c r="D42" i="7" s="1"/>
  <c r="D43" i="7" s="1"/>
  <c r="E40" i="7"/>
  <c r="F40" i="7" s="1"/>
  <c r="G40" i="7" s="1"/>
  <c r="C40" i="7"/>
  <c r="E34" i="7"/>
  <c r="F34" i="7" s="1"/>
  <c r="G34" i="7" s="1"/>
  <c r="H34" i="7" s="1"/>
  <c r="I34" i="7" s="1"/>
  <c r="J34" i="7" s="1"/>
  <c r="K34" i="7" s="1"/>
  <c r="L34" i="7" s="1"/>
  <c r="M34" i="7" s="1"/>
  <c r="N34" i="7" s="1"/>
  <c r="O34" i="7" s="1"/>
  <c r="P34" i="7" s="1"/>
  <c r="Q34" i="7" s="1"/>
  <c r="R34" i="7" s="1"/>
  <c r="S34" i="7" s="1"/>
  <c r="T34" i="7" s="1"/>
  <c r="U34" i="7" s="1"/>
  <c r="V34" i="7" s="1"/>
  <c r="W34" i="7" s="1"/>
  <c r="C34" i="7"/>
  <c r="N35" i="7" s="1"/>
  <c r="N36" i="7" s="1"/>
  <c r="N37" i="7" s="1"/>
  <c r="E28" i="7"/>
  <c r="F28" i="7" s="1"/>
  <c r="G28" i="7" s="1"/>
  <c r="H28" i="7" s="1"/>
  <c r="C28" i="7"/>
  <c r="D29" i="7" s="1"/>
  <c r="D30" i="7" s="1"/>
  <c r="D31" i="7" s="1"/>
  <c r="D23" i="7"/>
  <c r="D24" i="7" s="1"/>
  <c r="D25" i="7" s="1"/>
  <c r="E22" i="7"/>
  <c r="F22" i="7" s="1"/>
  <c r="G22" i="7" s="1"/>
  <c r="H22" i="7" s="1"/>
  <c r="C22" i="7"/>
  <c r="E16" i="7"/>
  <c r="F16" i="7" s="1"/>
  <c r="G16" i="7" s="1"/>
  <c r="H16" i="7" s="1"/>
  <c r="C16" i="7"/>
  <c r="D17" i="7" s="1"/>
  <c r="D18" i="7" s="1"/>
  <c r="D19" i="7" s="1"/>
  <c r="E10" i="7"/>
  <c r="F10" i="7" s="1"/>
  <c r="F11" i="7" s="1"/>
  <c r="F12" i="7" s="1"/>
  <c r="F13" i="7" s="1"/>
  <c r="C10" i="7"/>
  <c r="E4" i="7"/>
  <c r="F4" i="7" s="1"/>
  <c r="C4" i="7"/>
  <c r="E113" i="7" l="1"/>
  <c r="E114" i="7" s="1"/>
  <c r="E115" i="7" s="1"/>
  <c r="D113" i="7"/>
  <c r="D114" i="7" s="1"/>
  <c r="D115" i="7" s="1"/>
  <c r="D137" i="7"/>
  <c r="D138" i="7" s="1"/>
  <c r="D139" i="7" s="1"/>
  <c r="E95" i="7"/>
  <c r="E96" i="7" s="1"/>
  <c r="E97" i="7" s="1"/>
  <c r="H29" i="7"/>
  <c r="H30" i="7" s="1"/>
  <c r="H31" i="7" s="1"/>
  <c r="E101" i="7"/>
  <c r="E102" i="7" s="1"/>
  <c r="E103" i="7" s="1"/>
  <c r="H40" i="7"/>
  <c r="I40" i="7" s="1"/>
  <c r="J40" i="7" s="1"/>
  <c r="J41" i="7" s="1"/>
  <c r="J42" i="7" s="1"/>
  <c r="J43" i="7" s="1"/>
  <c r="G41" i="7"/>
  <c r="G42" i="7" s="1"/>
  <c r="G43" i="7" s="1"/>
  <c r="F119" i="7"/>
  <c r="F120" i="7" s="1"/>
  <c r="F121" i="7" s="1"/>
  <c r="D119" i="7"/>
  <c r="D120" i="7" s="1"/>
  <c r="D121" i="7" s="1"/>
  <c r="E53" i="7"/>
  <c r="E54" i="7" s="1"/>
  <c r="E55" i="7" s="1"/>
  <c r="F53" i="7"/>
  <c r="F54" i="7" s="1"/>
  <c r="F55" i="7" s="1"/>
  <c r="D125" i="7"/>
  <c r="D126" i="7" s="1"/>
  <c r="D127" i="7" s="1"/>
  <c r="D47" i="7"/>
  <c r="D48" i="7" s="1"/>
  <c r="D49" i="7" s="1"/>
  <c r="E59" i="7"/>
  <c r="E60" i="7" s="1"/>
  <c r="E61" i="7" s="1"/>
  <c r="K64" i="7"/>
  <c r="L64" i="7" s="1"/>
  <c r="M64" i="7" s="1"/>
  <c r="N64" i="7" s="1"/>
  <c r="O64" i="7" s="1"/>
  <c r="P64" i="7" s="1"/>
  <c r="Q64" i="7" s="1"/>
  <c r="J65" i="7"/>
  <c r="J66" i="7" s="1"/>
  <c r="J67" i="7" s="1"/>
  <c r="M76" i="7"/>
  <c r="N76" i="7" s="1"/>
  <c r="O76" i="7" s="1"/>
  <c r="L77" i="7"/>
  <c r="L78" i="7" s="1"/>
  <c r="L79" i="7" s="1"/>
  <c r="H17" i="7"/>
  <c r="H18" i="7" s="1"/>
  <c r="H19" i="7" s="1"/>
  <c r="I16" i="7"/>
  <c r="J16" i="7" s="1"/>
  <c r="M46" i="7"/>
  <c r="N46" i="7" s="1"/>
  <c r="L47" i="7"/>
  <c r="L48" i="7" s="1"/>
  <c r="L49" i="7" s="1"/>
  <c r="K52" i="7"/>
  <c r="J53" i="7"/>
  <c r="J54" i="7" s="1"/>
  <c r="J55" i="7" s="1"/>
  <c r="I22" i="7"/>
  <c r="J22" i="7" s="1"/>
  <c r="H23" i="7"/>
  <c r="H24" i="7" s="1"/>
  <c r="H25" i="7" s="1"/>
  <c r="G4" i="7"/>
  <c r="F5" i="7"/>
  <c r="F6" i="7" s="1"/>
  <c r="F7" i="7" s="1"/>
  <c r="E5" i="7"/>
  <c r="E6" i="7" s="1"/>
  <c r="E7" i="7" s="1"/>
  <c r="E11" i="7"/>
  <c r="E12" i="7" s="1"/>
  <c r="E13" i="7" s="1"/>
  <c r="V35" i="7"/>
  <c r="V36" i="7" s="1"/>
  <c r="V37" i="7" s="1"/>
  <c r="D35" i="7"/>
  <c r="D36" i="7" s="1"/>
  <c r="D37" i="7" s="1"/>
  <c r="G10" i="7"/>
  <c r="F35" i="7"/>
  <c r="F36" i="7" s="1"/>
  <c r="F37" i="7" s="1"/>
  <c r="H77" i="7"/>
  <c r="H78" i="7" s="1"/>
  <c r="H79" i="7" s="1"/>
  <c r="F29" i="7"/>
  <c r="F30" i="7" s="1"/>
  <c r="F31" i="7" s="1"/>
  <c r="H35" i="7"/>
  <c r="H36" i="7" s="1"/>
  <c r="H37" i="7" s="1"/>
  <c r="G65" i="7"/>
  <c r="G66" i="7" s="1"/>
  <c r="G67" i="7" s="1"/>
  <c r="I118" i="7"/>
  <c r="H119" i="7"/>
  <c r="H120" i="7" s="1"/>
  <c r="H121" i="7" s="1"/>
  <c r="G17" i="7"/>
  <c r="G18" i="7" s="1"/>
  <c r="G19" i="7" s="1"/>
  <c r="F17" i="7"/>
  <c r="F18" i="7" s="1"/>
  <c r="F19" i="7" s="1"/>
  <c r="E17" i="7"/>
  <c r="E18" i="7" s="1"/>
  <c r="E19" i="7" s="1"/>
  <c r="I28" i="7"/>
  <c r="J28" i="7" s="1"/>
  <c r="K28" i="7" s="1"/>
  <c r="L28" i="7" s="1"/>
  <c r="L35" i="7"/>
  <c r="L36" i="7" s="1"/>
  <c r="L37" i="7" s="1"/>
  <c r="F113" i="7"/>
  <c r="F114" i="7" s="1"/>
  <c r="F115" i="7" s="1"/>
  <c r="G112" i="7"/>
  <c r="G58" i="7"/>
  <c r="H58" i="7" s="1"/>
  <c r="F59" i="7"/>
  <c r="F60" i="7" s="1"/>
  <c r="F61" i="7" s="1"/>
  <c r="M82" i="7"/>
  <c r="L83" i="7"/>
  <c r="L84" i="7" s="1"/>
  <c r="L85" i="7" s="1"/>
  <c r="U35" i="7"/>
  <c r="U36" i="7" s="1"/>
  <c r="U37" i="7" s="1"/>
  <c r="M35" i="7"/>
  <c r="M36" i="7" s="1"/>
  <c r="M37" i="7" s="1"/>
  <c r="E35" i="7"/>
  <c r="E36" i="7" s="1"/>
  <c r="E37" i="7" s="1"/>
  <c r="S35" i="7"/>
  <c r="S36" i="7" s="1"/>
  <c r="S37" i="7" s="1"/>
  <c r="K35" i="7"/>
  <c r="K36" i="7" s="1"/>
  <c r="K37" i="7" s="1"/>
  <c r="R35" i="7"/>
  <c r="R36" i="7" s="1"/>
  <c r="R37" i="7" s="1"/>
  <c r="J35" i="7"/>
  <c r="J36" i="7" s="1"/>
  <c r="J37" i="7" s="1"/>
  <c r="Q35" i="7"/>
  <c r="Q36" i="7" s="1"/>
  <c r="Q37" i="7" s="1"/>
  <c r="I35" i="7"/>
  <c r="I36" i="7" s="1"/>
  <c r="I37" i="7" s="1"/>
  <c r="O35" i="7"/>
  <c r="O36" i="7" s="1"/>
  <c r="O37" i="7" s="1"/>
  <c r="G35" i="7"/>
  <c r="G36" i="7" s="1"/>
  <c r="G37" i="7" s="1"/>
  <c r="P35" i="7"/>
  <c r="P36" i="7" s="1"/>
  <c r="P37" i="7" s="1"/>
  <c r="I88" i="7"/>
  <c r="J88" i="7" s="1"/>
  <c r="K88" i="7" s="1"/>
  <c r="L88" i="7" s="1"/>
  <c r="H89" i="7"/>
  <c r="H90" i="7" s="1"/>
  <c r="H91" i="7" s="1"/>
  <c r="D5" i="7"/>
  <c r="D6" i="7" s="1"/>
  <c r="D7" i="7" s="1"/>
  <c r="D11" i="7"/>
  <c r="D12" i="7" s="1"/>
  <c r="D13" i="7" s="1"/>
  <c r="T35" i="7"/>
  <c r="T36" i="7" s="1"/>
  <c r="T37" i="7" s="1"/>
  <c r="I47" i="7"/>
  <c r="I48" i="7" s="1"/>
  <c r="I49" i="7" s="1"/>
  <c r="H83" i="7"/>
  <c r="H84" i="7" s="1"/>
  <c r="H85" i="7" s="1"/>
  <c r="G101" i="7"/>
  <c r="G102" i="7" s="1"/>
  <c r="G103" i="7" s="1"/>
  <c r="H100" i="7"/>
  <c r="G29" i="7"/>
  <c r="G30" i="7" s="1"/>
  <c r="G31" i="7" s="1"/>
  <c r="G53" i="7"/>
  <c r="G54" i="7" s="1"/>
  <c r="G55" i="7" s="1"/>
  <c r="D53" i="7"/>
  <c r="D54" i="7" s="1"/>
  <c r="D55" i="7" s="1"/>
  <c r="H53" i="7"/>
  <c r="H54" i="7" s="1"/>
  <c r="H55" i="7" s="1"/>
  <c r="I65" i="7"/>
  <c r="I66" i="7" s="1"/>
  <c r="I67" i="7" s="1"/>
  <c r="E71" i="7"/>
  <c r="E72" i="7" s="1"/>
  <c r="E73" i="7" s="1"/>
  <c r="J83" i="7"/>
  <c r="J84" i="7" s="1"/>
  <c r="J85" i="7" s="1"/>
  <c r="I83" i="7"/>
  <c r="I84" i="7" s="1"/>
  <c r="I85" i="7" s="1"/>
  <c r="G83" i="7"/>
  <c r="G84" i="7" s="1"/>
  <c r="G85" i="7" s="1"/>
  <c r="F83" i="7"/>
  <c r="F84" i="7" s="1"/>
  <c r="F85" i="7" s="1"/>
  <c r="K83" i="7"/>
  <c r="K84" i="7" s="1"/>
  <c r="K85" i="7" s="1"/>
  <c r="E83" i="7"/>
  <c r="E84" i="7" s="1"/>
  <c r="E85" i="7" s="1"/>
  <c r="F95" i="7"/>
  <c r="F96" i="7" s="1"/>
  <c r="F97" i="7" s="1"/>
  <c r="G94" i="7"/>
  <c r="E23" i="7"/>
  <c r="E24" i="7" s="1"/>
  <c r="E25" i="7" s="1"/>
  <c r="I77" i="7"/>
  <c r="I78" i="7" s="1"/>
  <c r="I79" i="7" s="1"/>
  <c r="N77" i="7"/>
  <c r="N78" i="7" s="1"/>
  <c r="N79" i="7" s="1"/>
  <c r="F77" i="7"/>
  <c r="F78" i="7" s="1"/>
  <c r="F79" i="7" s="1"/>
  <c r="K77" i="7"/>
  <c r="K78" i="7" s="1"/>
  <c r="K79" i="7" s="1"/>
  <c r="D77" i="7"/>
  <c r="D78" i="7" s="1"/>
  <c r="D79" i="7" s="1"/>
  <c r="J107" i="7"/>
  <c r="J108" i="7" s="1"/>
  <c r="J109" i="7" s="1"/>
  <c r="I107" i="7"/>
  <c r="I108" i="7" s="1"/>
  <c r="I109" i="7" s="1"/>
  <c r="G107" i="7"/>
  <c r="G108" i="7" s="1"/>
  <c r="G109" i="7" s="1"/>
  <c r="F107" i="7"/>
  <c r="F108" i="7" s="1"/>
  <c r="F109" i="7" s="1"/>
  <c r="F131" i="7"/>
  <c r="F132" i="7" s="1"/>
  <c r="F133" i="7" s="1"/>
  <c r="E131" i="7"/>
  <c r="E132" i="7" s="1"/>
  <c r="E133" i="7" s="1"/>
  <c r="F23" i="7"/>
  <c r="F24" i="7" s="1"/>
  <c r="F25" i="7" s="1"/>
  <c r="E41" i="7"/>
  <c r="E42" i="7" s="1"/>
  <c r="E43" i="7" s="1"/>
  <c r="K47" i="7"/>
  <c r="K48" i="7" s="1"/>
  <c r="K49" i="7" s="1"/>
  <c r="H47" i="7"/>
  <c r="H48" i="7" s="1"/>
  <c r="H49" i="7" s="1"/>
  <c r="F47" i="7"/>
  <c r="F48" i="7" s="1"/>
  <c r="F49" i="7" s="1"/>
  <c r="F65" i="7"/>
  <c r="F66" i="7" s="1"/>
  <c r="F67" i="7" s="1"/>
  <c r="H65" i="7"/>
  <c r="H66" i="7" s="1"/>
  <c r="H67" i="7" s="1"/>
  <c r="G70" i="7"/>
  <c r="H70" i="7" s="1"/>
  <c r="I70" i="7" s="1"/>
  <c r="E77" i="7"/>
  <c r="E78" i="7" s="1"/>
  <c r="E79" i="7" s="1"/>
  <c r="G23" i="7"/>
  <c r="G24" i="7" s="1"/>
  <c r="G25" i="7" s="1"/>
  <c r="K29" i="7"/>
  <c r="K30" i="7" s="1"/>
  <c r="K31" i="7" s="1"/>
  <c r="F41" i="7"/>
  <c r="F42" i="7" s="1"/>
  <c r="F43" i="7" s="1"/>
  <c r="G47" i="7"/>
  <c r="G48" i="7" s="1"/>
  <c r="G49" i="7" s="1"/>
  <c r="G77" i="7"/>
  <c r="G78" i="7" s="1"/>
  <c r="G79" i="7" s="1"/>
  <c r="F89" i="7"/>
  <c r="F90" i="7" s="1"/>
  <c r="F91" i="7" s="1"/>
  <c r="E89" i="7"/>
  <c r="E90" i="7" s="1"/>
  <c r="E91" i="7" s="1"/>
  <c r="G89" i="7"/>
  <c r="G90" i="7" s="1"/>
  <c r="G91" i="7" s="1"/>
  <c r="I23" i="7"/>
  <c r="I24" i="7" s="1"/>
  <c r="I25" i="7" s="1"/>
  <c r="E29" i="7"/>
  <c r="E30" i="7" s="1"/>
  <c r="E31" i="7" s="1"/>
  <c r="J47" i="7"/>
  <c r="J48" i="7" s="1"/>
  <c r="J49" i="7" s="1"/>
  <c r="E65" i="7"/>
  <c r="E66" i="7" s="1"/>
  <c r="E67" i="7" s="1"/>
  <c r="J77" i="7"/>
  <c r="J78" i="7" s="1"/>
  <c r="J79" i="7" s="1"/>
  <c r="E107" i="7"/>
  <c r="E108" i="7" s="1"/>
  <c r="E109" i="7" s="1"/>
  <c r="E125" i="7"/>
  <c r="E126" i="7" s="1"/>
  <c r="E127" i="7" s="1"/>
  <c r="D59" i="7"/>
  <c r="D60" i="7" s="1"/>
  <c r="D61" i="7" s="1"/>
  <c r="G119" i="7"/>
  <c r="G120" i="7" s="1"/>
  <c r="G121" i="7" s="1"/>
  <c r="F101" i="7"/>
  <c r="F102" i="7" s="1"/>
  <c r="F103" i="7" s="1"/>
  <c r="F125" i="7"/>
  <c r="F126" i="7" s="1"/>
  <c r="F127" i="7" s="1"/>
  <c r="E119" i="7"/>
  <c r="E120" i="7" s="1"/>
  <c r="E121" i="7" s="1"/>
  <c r="E142" i="6"/>
  <c r="C142" i="6"/>
  <c r="D143" i="6" s="1"/>
  <c r="D144" i="6" s="1"/>
  <c r="D145" i="6" s="1"/>
  <c r="E136" i="6"/>
  <c r="F136" i="6" s="1"/>
  <c r="C136" i="6"/>
  <c r="E130" i="6"/>
  <c r="F130" i="6" s="1"/>
  <c r="C130" i="6"/>
  <c r="E131" i="6" s="1"/>
  <c r="E132" i="6" s="1"/>
  <c r="E133" i="6" s="1"/>
  <c r="E124" i="6"/>
  <c r="F124" i="6" s="1"/>
  <c r="C124" i="6"/>
  <c r="E125" i="6" s="1"/>
  <c r="E126" i="6" s="1"/>
  <c r="E127" i="6" s="1"/>
  <c r="E118" i="6"/>
  <c r="C118" i="6"/>
  <c r="D119" i="6" s="1"/>
  <c r="D120" i="6" s="1"/>
  <c r="D121" i="6" s="1"/>
  <c r="E112" i="6"/>
  <c r="F112" i="6" s="1"/>
  <c r="G112" i="6" s="1"/>
  <c r="H112" i="6" s="1"/>
  <c r="C112" i="6"/>
  <c r="E106" i="6"/>
  <c r="F106" i="6" s="1"/>
  <c r="G106" i="6" s="1"/>
  <c r="H106" i="6" s="1"/>
  <c r="I106" i="6" s="1"/>
  <c r="J106" i="6" s="1"/>
  <c r="K106" i="6" s="1"/>
  <c r="C106" i="6"/>
  <c r="E100" i="6"/>
  <c r="F100" i="6" s="1"/>
  <c r="G100" i="6" s="1"/>
  <c r="H100" i="6" s="1"/>
  <c r="I100" i="6" s="1"/>
  <c r="J100" i="6" s="1"/>
  <c r="K100" i="6" s="1"/>
  <c r="L100" i="6" s="1"/>
  <c r="C100" i="6"/>
  <c r="E94" i="6"/>
  <c r="F94" i="6" s="1"/>
  <c r="G94" i="6" s="1"/>
  <c r="H94" i="6" s="1"/>
  <c r="I94" i="6" s="1"/>
  <c r="J94" i="6" s="1"/>
  <c r="K94" i="6" s="1"/>
  <c r="L94" i="6" s="1"/>
  <c r="M94" i="6" s="1"/>
  <c r="C94" i="6"/>
  <c r="E88" i="6"/>
  <c r="F88" i="6" s="1"/>
  <c r="G88" i="6" s="1"/>
  <c r="H88" i="6" s="1"/>
  <c r="C88" i="6"/>
  <c r="G89" i="6" s="1"/>
  <c r="G90" i="6" s="1"/>
  <c r="G91" i="6" s="1"/>
  <c r="E82" i="6"/>
  <c r="F82" i="6" s="1"/>
  <c r="C82" i="6"/>
  <c r="D83" i="6" s="1"/>
  <c r="D84" i="6" s="1"/>
  <c r="D85" i="6" s="1"/>
  <c r="E76" i="6"/>
  <c r="F76" i="6" s="1"/>
  <c r="C76" i="6"/>
  <c r="D77" i="6" s="1"/>
  <c r="D78" i="6" s="1"/>
  <c r="D79" i="6" s="1"/>
  <c r="D71" i="6"/>
  <c r="D72" i="6" s="1"/>
  <c r="D73" i="6" s="1"/>
  <c r="E70" i="6"/>
  <c r="F70" i="6" s="1"/>
  <c r="G70" i="6" s="1"/>
  <c r="H70" i="6" s="1"/>
  <c r="C70" i="6"/>
  <c r="E64" i="6"/>
  <c r="F64" i="6" s="1"/>
  <c r="G64" i="6" s="1"/>
  <c r="H64" i="6" s="1"/>
  <c r="I64" i="6" s="1"/>
  <c r="J64" i="6" s="1"/>
  <c r="K64" i="6" s="1"/>
  <c r="L64" i="6" s="1"/>
  <c r="M64" i="6" s="1"/>
  <c r="N64" i="6" s="1"/>
  <c r="O64" i="6" s="1"/>
  <c r="P64" i="6" s="1"/>
  <c r="C64" i="6"/>
  <c r="E58" i="6"/>
  <c r="F58" i="6" s="1"/>
  <c r="G58" i="6" s="1"/>
  <c r="H58" i="6" s="1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C58" i="6"/>
  <c r="D59" i="6" s="1"/>
  <c r="D60" i="6" s="1"/>
  <c r="D61" i="6" s="1"/>
  <c r="E52" i="6"/>
  <c r="C52" i="6"/>
  <c r="D53" i="6" s="1"/>
  <c r="D54" i="6" s="1"/>
  <c r="D55" i="6" s="1"/>
  <c r="E46" i="6"/>
  <c r="F46" i="6" s="1"/>
  <c r="G46" i="6" s="1"/>
  <c r="H46" i="6" s="1"/>
  <c r="I46" i="6" s="1"/>
  <c r="J46" i="6" s="1"/>
  <c r="K46" i="6" s="1"/>
  <c r="L46" i="6" s="1"/>
  <c r="M46" i="6" s="1"/>
  <c r="C46" i="6"/>
  <c r="E40" i="6"/>
  <c r="F40" i="6" s="1"/>
  <c r="G40" i="6" s="1"/>
  <c r="H40" i="6" s="1"/>
  <c r="I40" i="6" s="1"/>
  <c r="J40" i="6" s="1"/>
  <c r="K40" i="6" s="1"/>
  <c r="L40" i="6" s="1"/>
  <c r="M40" i="6" s="1"/>
  <c r="C40" i="6"/>
  <c r="E41" i="6" s="1"/>
  <c r="E42" i="6" s="1"/>
  <c r="E43" i="6" s="1"/>
  <c r="E34" i="6"/>
  <c r="F34" i="6" s="1"/>
  <c r="C34" i="6"/>
  <c r="D35" i="6" s="1"/>
  <c r="D36" i="6" s="1"/>
  <c r="D37" i="6" s="1"/>
  <c r="E28" i="6"/>
  <c r="F28" i="6" s="1"/>
  <c r="C28" i="6"/>
  <c r="D29" i="6" s="1"/>
  <c r="D30" i="6" s="1"/>
  <c r="D31" i="6" s="1"/>
  <c r="E22" i="6"/>
  <c r="F22" i="6" s="1"/>
  <c r="G22" i="6" s="1"/>
  <c r="H22" i="6" s="1"/>
  <c r="C22" i="6"/>
  <c r="E16" i="6"/>
  <c r="F16" i="6" s="1"/>
  <c r="G16" i="6" s="1"/>
  <c r="H16" i="6" s="1"/>
  <c r="C16" i="6"/>
  <c r="D17" i="6" s="1"/>
  <c r="D18" i="6" s="1"/>
  <c r="D19" i="6" s="1"/>
  <c r="E10" i="6"/>
  <c r="F10" i="6" s="1"/>
  <c r="C10" i="6"/>
  <c r="E4" i="6"/>
  <c r="F4" i="6" s="1"/>
  <c r="C4" i="6"/>
  <c r="D5" i="6" s="1"/>
  <c r="D6" i="6" s="1"/>
  <c r="D7" i="6" s="1"/>
  <c r="E142" i="5"/>
  <c r="C142" i="5"/>
  <c r="D143" i="5" s="1"/>
  <c r="D144" i="5" s="1"/>
  <c r="D145" i="5" s="1"/>
  <c r="E136" i="5"/>
  <c r="F136" i="5" s="1"/>
  <c r="C136" i="5"/>
  <c r="E130" i="5"/>
  <c r="F130" i="5" s="1"/>
  <c r="C130" i="5"/>
  <c r="D131" i="5" s="1"/>
  <c r="D132" i="5" s="1"/>
  <c r="D133" i="5" s="1"/>
  <c r="E124" i="5"/>
  <c r="F124" i="5" s="1"/>
  <c r="C124" i="5"/>
  <c r="D125" i="5" s="1"/>
  <c r="D126" i="5" s="1"/>
  <c r="D127" i="5" s="1"/>
  <c r="E118" i="5"/>
  <c r="F118" i="5" s="1"/>
  <c r="G118" i="5" s="1"/>
  <c r="C118" i="5"/>
  <c r="D119" i="5" s="1"/>
  <c r="D120" i="5" s="1"/>
  <c r="D121" i="5" s="1"/>
  <c r="E112" i="5"/>
  <c r="F112" i="5" s="1"/>
  <c r="G112" i="5" s="1"/>
  <c r="C112" i="5"/>
  <c r="E106" i="5"/>
  <c r="F106" i="5" s="1"/>
  <c r="G106" i="5" s="1"/>
  <c r="H106" i="5" s="1"/>
  <c r="I106" i="5" s="1"/>
  <c r="J106" i="5" s="1"/>
  <c r="K106" i="5" s="1"/>
  <c r="C106" i="5"/>
  <c r="E100" i="5"/>
  <c r="F100" i="5" s="1"/>
  <c r="G100" i="5" s="1"/>
  <c r="H100" i="5" s="1"/>
  <c r="I100" i="5" s="1"/>
  <c r="J100" i="5" s="1"/>
  <c r="K100" i="5" s="1"/>
  <c r="C100" i="5"/>
  <c r="E94" i="5"/>
  <c r="F94" i="5" s="1"/>
  <c r="G94" i="5" s="1"/>
  <c r="C94" i="5"/>
  <c r="D95" i="5" s="1"/>
  <c r="D96" i="5" s="1"/>
  <c r="D97" i="5" s="1"/>
  <c r="E88" i="5"/>
  <c r="F88" i="5" s="1"/>
  <c r="G88" i="5" s="1"/>
  <c r="H88" i="5" s="1"/>
  <c r="I88" i="5" s="1"/>
  <c r="J88" i="5" s="1"/>
  <c r="K88" i="5" s="1"/>
  <c r="L88" i="5" s="1"/>
  <c r="M88" i="5" s="1"/>
  <c r="N88" i="5" s="1"/>
  <c r="C88" i="5"/>
  <c r="E82" i="5"/>
  <c r="F82" i="5" s="1"/>
  <c r="G82" i="5" s="1"/>
  <c r="H82" i="5" s="1"/>
  <c r="I82" i="5" s="1"/>
  <c r="J82" i="5" s="1"/>
  <c r="K82" i="5" s="1"/>
  <c r="L82" i="5" s="1"/>
  <c r="M82" i="5" s="1"/>
  <c r="N82" i="5" s="1"/>
  <c r="O82" i="5" s="1"/>
  <c r="C82" i="5"/>
  <c r="D77" i="5"/>
  <c r="D78" i="5" s="1"/>
  <c r="D79" i="5" s="1"/>
  <c r="E76" i="5"/>
  <c r="C76" i="5"/>
  <c r="E70" i="5"/>
  <c r="F70" i="5" s="1"/>
  <c r="G70" i="5" s="1"/>
  <c r="H70" i="5" s="1"/>
  <c r="C70" i="5"/>
  <c r="D71" i="5" s="1"/>
  <c r="D72" i="5" s="1"/>
  <c r="D73" i="5" s="1"/>
  <c r="E64" i="5"/>
  <c r="F64" i="5" s="1"/>
  <c r="G64" i="5" s="1"/>
  <c r="H64" i="5" s="1"/>
  <c r="I64" i="5" s="1"/>
  <c r="C64" i="5"/>
  <c r="E58" i="5"/>
  <c r="F58" i="5" s="1"/>
  <c r="G58" i="5" s="1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R58" i="5" s="1"/>
  <c r="S58" i="5" s="1"/>
  <c r="C58" i="5"/>
  <c r="E52" i="5"/>
  <c r="F52" i="5" s="1"/>
  <c r="G52" i="5" s="1"/>
  <c r="H52" i="5" s="1"/>
  <c r="I52" i="5" s="1"/>
  <c r="C52" i="5"/>
  <c r="F53" i="5" s="1"/>
  <c r="F54" i="5" s="1"/>
  <c r="F55" i="5" s="1"/>
  <c r="E46" i="5"/>
  <c r="F46" i="5" s="1"/>
  <c r="G46" i="5" s="1"/>
  <c r="H46" i="5" s="1"/>
  <c r="I46" i="5" s="1"/>
  <c r="J46" i="5" s="1"/>
  <c r="K46" i="5" s="1"/>
  <c r="L46" i="5" s="1"/>
  <c r="M46" i="5" s="1"/>
  <c r="C46" i="5"/>
  <c r="E40" i="5"/>
  <c r="F40" i="5" s="1"/>
  <c r="G40" i="5" s="1"/>
  <c r="H40" i="5" s="1"/>
  <c r="C40" i="5"/>
  <c r="D35" i="5"/>
  <c r="D36" i="5" s="1"/>
  <c r="D37" i="5" s="1"/>
  <c r="E34" i="5"/>
  <c r="F34" i="5" s="1"/>
  <c r="G34" i="5" s="1"/>
  <c r="C34" i="5"/>
  <c r="E28" i="5"/>
  <c r="F28" i="5" s="1"/>
  <c r="G28" i="5" s="1"/>
  <c r="C28" i="5"/>
  <c r="D29" i="5" s="1"/>
  <c r="D30" i="5" s="1"/>
  <c r="D31" i="5" s="1"/>
  <c r="E22" i="5"/>
  <c r="F22" i="5" s="1"/>
  <c r="G22" i="5" s="1"/>
  <c r="H22" i="5" s="1"/>
  <c r="I22" i="5" s="1"/>
  <c r="C22" i="5"/>
  <c r="E23" i="5" s="1"/>
  <c r="E24" i="5" s="1"/>
  <c r="E25" i="5" s="1"/>
  <c r="E16" i="5"/>
  <c r="F16" i="5" s="1"/>
  <c r="G16" i="5" s="1"/>
  <c r="C16" i="5"/>
  <c r="D17" i="5" s="1"/>
  <c r="D18" i="5" s="1"/>
  <c r="D19" i="5" s="1"/>
  <c r="E10" i="5"/>
  <c r="C10" i="5"/>
  <c r="D11" i="5" s="1"/>
  <c r="D12" i="5" s="1"/>
  <c r="D13" i="5" s="1"/>
  <c r="E4" i="5"/>
  <c r="F4" i="5" s="1"/>
  <c r="G4" i="5" s="1"/>
  <c r="H4" i="5" s="1"/>
  <c r="I4" i="5" s="1"/>
  <c r="J4" i="5" s="1"/>
  <c r="K4" i="5" s="1"/>
  <c r="L4" i="5" s="1"/>
  <c r="M4" i="5" s="1"/>
  <c r="C4" i="5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K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D101" i="2"/>
  <c r="D102" i="2" s="1"/>
  <c r="D103" i="2" s="1"/>
  <c r="E101" i="2"/>
  <c r="D89" i="2"/>
  <c r="D90" i="2" s="1"/>
  <c r="D91" i="2" s="1"/>
  <c r="D17" i="2"/>
  <c r="D18" i="2" s="1"/>
  <c r="D19" i="2" s="1"/>
  <c r="C10" i="2"/>
  <c r="C142" i="2"/>
  <c r="D143" i="2" s="1"/>
  <c r="C136" i="2"/>
  <c r="C130" i="2"/>
  <c r="C124" i="2"/>
  <c r="D125" i="2" s="1"/>
  <c r="D126" i="2" s="1"/>
  <c r="D127" i="2" s="1"/>
  <c r="C118" i="2"/>
  <c r="C112" i="2"/>
  <c r="C106" i="2"/>
  <c r="D107" i="2" s="1"/>
  <c r="D108" i="2" s="1"/>
  <c r="D109" i="2" s="1"/>
  <c r="E100" i="2"/>
  <c r="C100" i="2"/>
  <c r="C94" i="2"/>
  <c r="C88" i="2"/>
  <c r="C82" i="2"/>
  <c r="C76" i="2"/>
  <c r="C70" i="2"/>
  <c r="C64" i="2"/>
  <c r="D65" i="2" s="1"/>
  <c r="D66" i="2" s="1"/>
  <c r="D67" i="2" s="1"/>
  <c r="C58" i="2"/>
  <c r="D59" i="2" s="1"/>
  <c r="D60" i="2" s="1"/>
  <c r="D61" i="2" s="1"/>
  <c r="C52" i="2"/>
  <c r="C46" i="2"/>
  <c r="D47" i="2" s="1"/>
  <c r="D48" i="2" s="1"/>
  <c r="D49" i="2" s="1"/>
  <c r="E40" i="2"/>
  <c r="C40" i="2"/>
  <c r="E41" i="2" s="1"/>
  <c r="E34" i="2"/>
  <c r="C34" i="2"/>
  <c r="D35" i="2" s="1"/>
  <c r="D36" i="2" s="1"/>
  <c r="D37" i="2" s="1"/>
  <c r="E28" i="2"/>
  <c r="F28" i="2" s="1"/>
  <c r="F29" i="2" s="1"/>
  <c r="C28" i="2"/>
  <c r="E22" i="2"/>
  <c r="C22" i="2"/>
  <c r="D23" i="2" s="1"/>
  <c r="D24" i="2" s="1"/>
  <c r="D25" i="2" s="1"/>
  <c r="E16" i="2"/>
  <c r="F16" i="2" s="1"/>
  <c r="C16" i="2"/>
  <c r="E10" i="2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C11" i="1"/>
  <c r="C12" i="1"/>
  <c r="C13" i="1"/>
  <c r="C14" i="1"/>
  <c r="C15" i="1"/>
  <c r="C16" i="1"/>
  <c r="C17" i="1"/>
  <c r="C18" i="1"/>
  <c r="C19" i="1"/>
  <c r="C20" i="1"/>
  <c r="C21" i="1"/>
  <c r="C3" i="1"/>
  <c r="C4" i="1"/>
  <c r="C5" i="1"/>
  <c r="C6" i="1"/>
  <c r="C7" i="1"/>
  <c r="C8" i="1"/>
  <c r="C9" i="1"/>
  <c r="C10" i="1"/>
  <c r="R11" i="2" l="1"/>
  <c r="Q11" i="2"/>
  <c r="P11" i="2"/>
  <c r="I11" i="2"/>
  <c r="H11" i="2"/>
  <c r="G11" i="2"/>
  <c r="D41" i="2"/>
  <c r="D42" i="2" s="1"/>
  <c r="D43" i="2" s="1"/>
  <c r="F17" i="2"/>
  <c r="F18" i="2" s="1"/>
  <c r="F19" i="2" s="1"/>
  <c r="V11" i="2"/>
  <c r="F11" i="2"/>
  <c r="Y11" i="2"/>
  <c r="X11" i="2"/>
  <c r="S11" i="2"/>
  <c r="H41" i="7"/>
  <c r="H42" i="7" s="1"/>
  <c r="H43" i="7" s="1"/>
  <c r="K40" i="7"/>
  <c r="L40" i="7" s="1"/>
  <c r="M40" i="7" s="1"/>
  <c r="M77" i="7"/>
  <c r="M78" i="7" s="1"/>
  <c r="M79" i="7" s="1"/>
  <c r="I41" i="7"/>
  <c r="I42" i="7" s="1"/>
  <c r="I43" i="7" s="1"/>
  <c r="I29" i="7"/>
  <c r="I30" i="7" s="1"/>
  <c r="I31" i="7" s="1"/>
  <c r="J29" i="7"/>
  <c r="J30" i="7" s="1"/>
  <c r="J31" i="7" s="1"/>
  <c r="N65" i="7"/>
  <c r="N66" i="7" s="1"/>
  <c r="N67" i="7" s="1"/>
  <c r="F11" i="6"/>
  <c r="F12" i="6" s="1"/>
  <c r="F13" i="6" s="1"/>
  <c r="D125" i="6"/>
  <c r="D126" i="6" s="1"/>
  <c r="D127" i="6" s="1"/>
  <c r="G113" i="6"/>
  <c r="G114" i="6" s="1"/>
  <c r="G115" i="6" s="1"/>
  <c r="E125" i="5"/>
  <c r="E126" i="5" s="1"/>
  <c r="E127" i="5" s="1"/>
  <c r="E47" i="6"/>
  <c r="E48" i="6" s="1"/>
  <c r="E49" i="6" s="1"/>
  <c r="F59" i="5"/>
  <c r="F60" i="5" s="1"/>
  <c r="F61" i="5" s="1"/>
  <c r="L65" i="7"/>
  <c r="L66" i="7" s="1"/>
  <c r="L67" i="7" s="1"/>
  <c r="M65" i="7"/>
  <c r="M66" i="7" s="1"/>
  <c r="M67" i="7" s="1"/>
  <c r="M47" i="7"/>
  <c r="M48" i="7" s="1"/>
  <c r="M49" i="7" s="1"/>
  <c r="E29" i="2"/>
  <c r="E30" i="2" s="1"/>
  <c r="E31" i="2" s="1"/>
  <c r="D29" i="2"/>
  <c r="D30" i="2" s="1"/>
  <c r="D31" i="2" s="1"/>
  <c r="K41" i="7"/>
  <c r="K42" i="7" s="1"/>
  <c r="K43" i="7" s="1"/>
  <c r="L41" i="7"/>
  <c r="L42" i="7" s="1"/>
  <c r="L43" i="7" s="1"/>
  <c r="E11" i="2"/>
  <c r="K11" i="2"/>
  <c r="D113" i="6"/>
  <c r="D114" i="6" s="1"/>
  <c r="D115" i="6" s="1"/>
  <c r="P65" i="7"/>
  <c r="P66" i="7" s="1"/>
  <c r="P67" i="7" s="1"/>
  <c r="E17" i="2"/>
  <c r="E18" i="2" s="1"/>
  <c r="E19" i="2" s="1"/>
  <c r="N11" i="2"/>
  <c r="Z11" i="2"/>
  <c r="AC11" i="2" s="1"/>
  <c r="J11" i="2"/>
  <c r="O65" i="7"/>
  <c r="O66" i="7" s="1"/>
  <c r="O67" i="7" s="1"/>
  <c r="K65" i="7"/>
  <c r="K66" i="7" s="1"/>
  <c r="K67" i="7" s="1"/>
  <c r="I58" i="7"/>
  <c r="H59" i="7"/>
  <c r="H60" i="7" s="1"/>
  <c r="H61" i="7" s="1"/>
  <c r="K89" i="7"/>
  <c r="K90" i="7" s="1"/>
  <c r="K91" i="7" s="1"/>
  <c r="M28" i="7"/>
  <c r="L29" i="7"/>
  <c r="L30" i="7" s="1"/>
  <c r="L31" i="7" s="1"/>
  <c r="I71" i="7"/>
  <c r="I72" i="7" s="1"/>
  <c r="I73" i="7" s="1"/>
  <c r="J70" i="7"/>
  <c r="K22" i="7"/>
  <c r="J23" i="7"/>
  <c r="J24" i="7" s="1"/>
  <c r="J25" i="7" s="1"/>
  <c r="J17" i="7"/>
  <c r="J18" i="7" s="1"/>
  <c r="J19" i="7" s="1"/>
  <c r="K16" i="7"/>
  <c r="M88" i="7"/>
  <c r="L89" i="7"/>
  <c r="L90" i="7" s="1"/>
  <c r="L91" i="7" s="1"/>
  <c r="O46" i="7"/>
  <c r="N47" i="7"/>
  <c r="N48" i="7" s="1"/>
  <c r="N49" i="7" s="1"/>
  <c r="H94" i="7"/>
  <c r="G95" i="7"/>
  <c r="G96" i="7" s="1"/>
  <c r="G97" i="7" s="1"/>
  <c r="H10" i="7"/>
  <c r="G11" i="7"/>
  <c r="G12" i="7" s="1"/>
  <c r="G13" i="7" s="1"/>
  <c r="G59" i="7"/>
  <c r="G60" i="7" s="1"/>
  <c r="G61" i="7" s="1"/>
  <c r="K53" i="7"/>
  <c r="K54" i="7" s="1"/>
  <c r="K55" i="7" s="1"/>
  <c r="L52" i="7"/>
  <c r="I89" i="7"/>
  <c r="I90" i="7" s="1"/>
  <c r="I91" i="7" s="1"/>
  <c r="H71" i="7"/>
  <c r="H72" i="7" s="1"/>
  <c r="H73" i="7" s="1"/>
  <c r="G71" i="7"/>
  <c r="G72" i="7" s="1"/>
  <c r="G73" i="7" s="1"/>
  <c r="N82" i="7"/>
  <c r="M83" i="7"/>
  <c r="M84" i="7" s="1"/>
  <c r="M85" i="7" s="1"/>
  <c r="G113" i="7"/>
  <c r="G114" i="7" s="1"/>
  <c r="G115" i="7" s="1"/>
  <c r="H112" i="7"/>
  <c r="P76" i="7"/>
  <c r="O77" i="7"/>
  <c r="O78" i="7" s="1"/>
  <c r="O79" i="7" s="1"/>
  <c r="N40" i="7"/>
  <c r="M41" i="7"/>
  <c r="M42" i="7" s="1"/>
  <c r="M43" i="7" s="1"/>
  <c r="J89" i="7"/>
  <c r="J90" i="7" s="1"/>
  <c r="J91" i="7" s="1"/>
  <c r="H101" i="7"/>
  <c r="H102" i="7" s="1"/>
  <c r="H103" i="7" s="1"/>
  <c r="I100" i="7"/>
  <c r="G5" i="7"/>
  <c r="G6" i="7" s="1"/>
  <c r="G7" i="7" s="1"/>
  <c r="H4" i="7"/>
  <c r="I17" i="7"/>
  <c r="I18" i="7" s="1"/>
  <c r="I19" i="7" s="1"/>
  <c r="R64" i="7"/>
  <c r="R65" i="7" s="1"/>
  <c r="Q65" i="7"/>
  <c r="Q66" i="7" s="1"/>
  <c r="Q67" i="7" s="1"/>
  <c r="G29" i="5"/>
  <c r="G30" i="5" s="1"/>
  <c r="G31" i="5" s="1"/>
  <c r="H28" i="5"/>
  <c r="I28" i="5" s="1"/>
  <c r="D71" i="2"/>
  <c r="D72" i="2" s="1"/>
  <c r="D73" i="2" s="1"/>
  <c r="E42" i="2"/>
  <c r="E43" i="2" s="1"/>
  <c r="H83" i="5"/>
  <c r="H84" i="5" s="1"/>
  <c r="H85" i="5" s="1"/>
  <c r="D23" i="6"/>
  <c r="D24" i="6" s="1"/>
  <c r="D25" i="6" s="1"/>
  <c r="E23" i="6"/>
  <c r="E24" i="6" s="1"/>
  <c r="E25" i="6" s="1"/>
  <c r="D77" i="2"/>
  <c r="D78" i="2" s="1"/>
  <c r="D79" i="2" s="1"/>
  <c r="F95" i="6"/>
  <c r="F96" i="6" s="1"/>
  <c r="F97" i="6" s="1"/>
  <c r="G95" i="6"/>
  <c r="G96" i="6" s="1"/>
  <c r="G97" i="6" s="1"/>
  <c r="E65" i="5"/>
  <c r="E66" i="5" s="1"/>
  <c r="E67" i="5" s="1"/>
  <c r="D101" i="5"/>
  <c r="D102" i="5" s="1"/>
  <c r="D103" i="5" s="1"/>
  <c r="H101" i="5"/>
  <c r="H102" i="5" s="1"/>
  <c r="H103" i="5" s="1"/>
  <c r="D83" i="2"/>
  <c r="D84" i="2" s="1"/>
  <c r="D85" i="2" s="1"/>
  <c r="D137" i="2"/>
  <c r="D138" i="2" s="1"/>
  <c r="D139" i="2" s="1"/>
  <c r="D53" i="2"/>
  <c r="D54" i="2" s="1"/>
  <c r="D55" i="2" s="1"/>
  <c r="D95" i="2"/>
  <c r="D96" i="2" s="1"/>
  <c r="D97" i="2" s="1"/>
  <c r="D113" i="2"/>
  <c r="D114" i="2" s="1"/>
  <c r="D115" i="2" s="1"/>
  <c r="I53" i="5"/>
  <c r="I54" i="5" s="1"/>
  <c r="I55" i="5" s="1"/>
  <c r="E131" i="5"/>
  <c r="E132" i="5" s="1"/>
  <c r="E133" i="5" s="1"/>
  <c r="H65" i="6"/>
  <c r="H66" i="6" s="1"/>
  <c r="H67" i="6" s="1"/>
  <c r="D119" i="2"/>
  <c r="D120" i="2" s="1"/>
  <c r="D121" i="2" s="1"/>
  <c r="F113" i="5"/>
  <c r="F114" i="5" s="1"/>
  <c r="F115" i="5" s="1"/>
  <c r="D113" i="5"/>
  <c r="D114" i="5" s="1"/>
  <c r="D115" i="5" s="1"/>
  <c r="E23" i="2"/>
  <c r="E24" i="2" s="1"/>
  <c r="E25" i="2" s="1"/>
  <c r="D53" i="5"/>
  <c r="D54" i="5" s="1"/>
  <c r="D55" i="5" s="1"/>
  <c r="I89" i="5"/>
  <c r="I90" i="5" s="1"/>
  <c r="I91" i="5" s="1"/>
  <c r="D89" i="5"/>
  <c r="D90" i="5" s="1"/>
  <c r="D91" i="5" s="1"/>
  <c r="G89" i="5"/>
  <c r="G90" i="5" s="1"/>
  <c r="G91" i="5" s="1"/>
  <c r="E41" i="5"/>
  <c r="E42" i="5" s="1"/>
  <c r="E43" i="5" s="1"/>
  <c r="F83" i="6"/>
  <c r="F84" i="6" s="1"/>
  <c r="F85" i="6" s="1"/>
  <c r="F131" i="6"/>
  <c r="F132" i="6" s="1"/>
  <c r="F133" i="6" s="1"/>
  <c r="D131" i="2"/>
  <c r="D132" i="2" s="1"/>
  <c r="D133" i="2" s="1"/>
  <c r="E11" i="5"/>
  <c r="E12" i="5" s="1"/>
  <c r="E13" i="5" s="1"/>
  <c r="U11" i="2"/>
  <c r="M11" i="2"/>
  <c r="E83" i="5"/>
  <c r="E84" i="5" s="1"/>
  <c r="E85" i="5" s="1"/>
  <c r="H107" i="5"/>
  <c r="H108" i="5" s="1"/>
  <c r="H109" i="5" s="1"/>
  <c r="F113" i="6"/>
  <c r="F114" i="6" s="1"/>
  <c r="F115" i="6" s="1"/>
  <c r="D131" i="6"/>
  <c r="D132" i="6" s="1"/>
  <c r="D133" i="6" s="1"/>
  <c r="T11" i="2"/>
  <c r="L11" i="2"/>
  <c r="D11" i="2"/>
  <c r="D12" i="2" s="1"/>
  <c r="D13" i="2" s="1"/>
  <c r="E35" i="2"/>
  <c r="E36" i="2" s="1"/>
  <c r="E37" i="2" s="1"/>
  <c r="F89" i="6"/>
  <c r="F90" i="6" s="1"/>
  <c r="F91" i="6" s="1"/>
  <c r="K101" i="6"/>
  <c r="K102" i="6" s="1"/>
  <c r="K103" i="6" s="1"/>
  <c r="E137" i="6"/>
  <c r="E138" i="6" s="1"/>
  <c r="E139" i="6" s="1"/>
  <c r="W11" i="2"/>
  <c r="O11" i="2"/>
  <c r="E65" i="2"/>
  <c r="H17" i="6"/>
  <c r="H18" i="6" s="1"/>
  <c r="H19" i="6" s="1"/>
  <c r="I16" i="6"/>
  <c r="J16" i="6" s="1"/>
  <c r="N40" i="6"/>
  <c r="O40" i="6" s="1"/>
  <c r="P40" i="6" s="1"/>
  <c r="M41" i="6"/>
  <c r="M42" i="6" s="1"/>
  <c r="M43" i="6" s="1"/>
  <c r="G4" i="6"/>
  <c r="H4" i="6" s="1"/>
  <c r="F5" i="6"/>
  <c r="F6" i="6" s="1"/>
  <c r="F7" i="6" s="1"/>
  <c r="G28" i="6"/>
  <c r="H28" i="6" s="1"/>
  <c r="F29" i="6"/>
  <c r="F30" i="6" s="1"/>
  <c r="F31" i="6" s="1"/>
  <c r="M47" i="6"/>
  <c r="M48" i="6" s="1"/>
  <c r="M49" i="6" s="1"/>
  <c r="N46" i="6"/>
  <c r="O46" i="6" s="1"/>
  <c r="P46" i="6" s="1"/>
  <c r="H23" i="6"/>
  <c r="H24" i="6" s="1"/>
  <c r="H25" i="6" s="1"/>
  <c r="I22" i="6"/>
  <c r="J22" i="6" s="1"/>
  <c r="F35" i="6"/>
  <c r="F36" i="6" s="1"/>
  <c r="F37" i="6" s="1"/>
  <c r="G34" i="6"/>
  <c r="H34" i="6" s="1"/>
  <c r="I34" i="6" s="1"/>
  <c r="J34" i="6" s="1"/>
  <c r="K34" i="6" s="1"/>
  <c r="L34" i="6" s="1"/>
  <c r="Q64" i="6"/>
  <c r="R64" i="6" s="1"/>
  <c r="R65" i="6" s="1"/>
  <c r="P65" i="6"/>
  <c r="P66" i="6" s="1"/>
  <c r="P67" i="6" s="1"/>
  <c r="G10" i="6"/>
  <c r="H10" i="6" s="1"/>
  <c r="I10" i="6" s="1"/>
  <c r="J10" i="6" s="1"/>
  <c r="K10" i="6" s="1"/>
  <c r="L10" i="6" s="1"/>
  <c r="M10" i="6" s="1"/>
  <c r="N10" i="6" s="1"/>
  <c r="G71" i="6"/>
  <c r="G72" i="6" s="1"/>
  <c r="G73" i="6" s="1"/>
  <c r="G82" i="6"/>
  <c r="H82" i="6" s="1"/>
  <c r="I82" i="6" s="1"/>
  <c r="J82" i="6" s="1"/>
  <c r="K82" i="6" s="1"/>
  <c r="I88" i="6"/>
  <c r="J88" i="6" s="1"/>
  <c r="H89" i="6"/>
  <c r="H90" i="6" s="1"/>
  <c r="H91" i="6" s="1"/>
  <c r="H11" i="6"/>
  <c r="H12" i="6" s="1"/>
  <c r="H13" i="6" s="1"/>
  <c r="E119" i="6"/>
  <c r="E120" i="6" s="1"/>
  <c r="E121" i="6" s="1"/>
  <c r="F118" i="6"/>
  <c r="G118" i="6" s="1"/>
  <c r="I11" i="6"/>
  <c r="I12" i="6" s="1"/>
  <c r="I13" i="6" s="1"/>
  <c r="E17" i="6"/>
  <c r="E18" i="6" s="1"/>
  <c r="E19" i="6" s="1"/>
  <c r="E53" i="6"/>
  <c r="E54" i="6" s="1"/>
  <c r="E55" i="6" s="1"/>
  <c r="F52" i="6"/>
  <c r="G52" i="6" s="1"/>
  <c r="K59" i="6"/>
  <c r="K60" i="6" s="1"/>
  <c r="K61" i="6" s="1"/>
  <c r="R59" i="6"/>
  <c r="R60" i="6" s="1"/>
  <c r="R61" i="6" s="1"/>
  <c r="J59" i="6"/>
  <c r="J60" i="6" s="1"/>
  <c r="J61" i="6" s="1"/>
  <c r="Q59" i="6"/>
  <c r="Q60" i="6" s="1"/>
  <c r="Q61" i="6" s="1"/>
  <c r="I59" i="6"/>
  <c r="I60" i="6" s="1"/>
  <c r="I61" i="6" s="1"/>
  <c r="P59" i="6"/>
  <c r="P60" i="6" s="1"/>
  <c r="P61" i="6" s="1"/>
  <c r="H59" i="6"/>
  <c r="H60" i="6" s="1"/>
  <c r="H61" i="6" s="1"/>
  <c r="O59" i="6"/>
  <c r="O60" i="6" s="1"/>
  <c r="O61" i="6" s="1"/>
  <c r="G59" i="6"/>
  <c r="G60" i="6" s="1"/>
  <c r="G61" i="6" s="1"/>
  <c r="N59" i="6"/>
  <c r="N60" i="6" s="1"/>
  <c r="N61" i="6" s="1"/>
  <c r="F59" i="6"/>
  <c r="F60" i="6" s="1"/>
  <c r="F61" i="6" s="1"/>
  <c r="M59" i="6"/>
  <c r="M60" i="6" s="1"/>
  <c r="M61" i="6" s="1"/>
  <c r="E59" i="6"/>
  <c r="E60" i="6" s="1"/>
  <c r="E61" i="6" s="1"/>
  <c r="J11" i="6"/>
  <c r="J12" i="6" s="1"/>
  <c r="J13" i="6" s="1"/>
  <c r="F17" i="6"/>
  <c r="F18" i="6" s="1"/>
  <c r="F19" i="6" s="1"/>
  <c r="F23" i="6"/>
  <c r="F24" i="6" s="1"/>
  <c r="F25" i="6" s="1"/>
  <c r="H47" i="6"/>
  <c r="H48" i="6" s="1"/>
  <c r="H49" i="6" s="1"/>
  <c r="O65" i="6"/>
  <c r="O66" i="6" s="1"/>
  <c r="O67" i="6" s="1"/>
  <c r="J107" i="6"/>
  <c r="J108" i="6" s="1"/>
  <c r="J109" i="6" s="1"/>
  <c r="I112" i="6"/>
  <c r="H113" i="6"/>
  <c r="H114" i="6" s="1"/>
  <c r="H115" i="6" s="1"/>
  <c r="G124" i="6"/>
  <c r="H124" i="6" s="1"/>
  <c r="F125" i="6"/>
  <c r="F126" i="6" s="1"/>
  <c r="F127" i="6" s="1"/>
  <c r="G17" i="6"/>
  <c r="G18" i="6" s="1"/>
  <c r="G19" i="6" s="1"/>
  <c r="G23" i="6"/>
  <c r="G24" i="6" s="1"/>
  <c r="G25" i="6" s="1"/>
  <c r="H41" i="6"/>
  <c r="H42" i="6" s="1"/>
  <c r="H43" i="6" s="1"/>
  <c r="D11" i="6"/>
  <c r="D12" i="6" s="1"/>
  <c r="D13" i="6" s="1"/>
  <c r="L11" i="6"/>
  <c r="L12" i="6" s="1"/>
  <c r="L13" i="6" s="1"/>
  <c r="I70" i="6"/>
  <c r="H71" i="6"/>
  <c r="H72" i="6" s="1"/>
  <c r="H73" i="6" s="1"/>
  <c r="J101" i="6"/>
  <c r="J102" i="6" s="1"/>
  <c r="J103" i="6" s="1"/>
  <c r="I101" i="6"/>
  <c r="I102" i="6" s="1"/>
  <c r="I103" i="6" s="1"/>
  <c r="H101" i="6"/>
  <c r="H102" i="6" s="1"/>
  <c r="H103" i="6" s="1"/>
  <c r="G101" i="6"/>
  <c r="G102" i="6" s="1"/>
  <c r="G103" i="6" s="1"/>
  <c r="F101" i="6"/>
  <c r="F102" i="6" s="1"/>
  <c r="F103" i="6" s="1"/>
  <c r="E101" i="6"/>
  <c r="E102" i="6" s="1"/>
  <c r="E103" i="6" s="1"/>
  <c r="D101" i="6"/>
  <c r="D102" i="6" s="1"/>
  <c r="D103" i="6" s="1"/>
  <c r="E5" i="6"/>
  <c r="E6" i="6" s="1"/>
  <c r="E7" i="6" s="1"/>
  <c r="E11" i="6"/>
  <c r="E12" i="6" s="1"/>
  <c r="E13" i="6" s="1"/>
  <c r="M11" i="6"/>
  <c r="M12" i="6" s="1"/>
  <c r="M13" i="6" s="1"/>
  <c r="E29" i="6"/>
  <c r="E30" i="6" s="1"/>
  <c r="E31" i="6" s="1"/>
  <c r="E35" i="6"/>
  <c r="E36" i="6" s="1"/>
  <c r="E37" i="6" s="1"/>
  <c r="L59" i="6"/>
  <c r="L60" i="6" s="1"/>
  <c r="L61" i="6" s="1"/>
  <c r="G76" i="6"/>
  <c r="H76" i="6" s="1"/>
  <c r="F77" i="6"/>
  <c r="F78" i="6" s="1"/>
  <c r="F79" i="6" s="1"/>
  <c r="G130" i="6"/>
  <c r="I41" i="6"/>
  <c r="I42" i="6" s="1"/>
  <c r="I43" i="6" s="1"/>
  <c r="I47" i="6"/>
  <c r="I48" i="6" s="1"/>
  <c r="I49" i="6" s="1"/>
  <c r="I65" i="6"/>
  <c r="I66" i="6" s="1"/>
  <c r="I67" i="6" s="1"/>
  <c r="H95" i="6"/>
  <c r="H96" i="6" s="1"/>
  <c r="H97" i="6" s="1"/>
  <c r="D107" i="6"/>
  <c r="D108" i="6" s="1"/>
  <c r="D109" i="6" s="1"/>
  <c r="J41" i="6"/>
  <c r="J42" i="6" s="1"/>
  <c r="J43" i="6" s="1"/>
  <c r="J47" i="6"/>
  <c r="J48" i="6" s="1"/>
  <c r="J49" i="6" s="1"/>
  <c r="J65" i="6"/>
  <c r="J66" i="6" s="1"/>
  <c r="J67" i="6" s="1"/>
  <c r="E77" i="6"/>
  <c r="E78" i="6" s="1"/>
  <c r="E79" i="6" s="1"/>
  <c r="E83" i="6"/>
  <c r="E84" i="6" s="1"/>
  <c r="E85" i="6" s="1"/>
  <c r="I95" i="6"/>
  <c r="I96" i="6" s="1"/>
  <c r="I97" i="6" s="1"/>
  <c r="E107" i="6"/>
  <c r="E108" i="6" s="1"/>
  <c r="E109" i="6" s="1"/>
  <c r="K41" i="6"/>
  <c r="K42" i="6" s="1"/>
  <c r="K43" i="6" s="1"/>
  <c r="K47" i="6"/>
  <c r="K48" i="6" s="1"/>
  <c r="K49" i="6" s="1"/>
  <c r="K65" i="6"/>
  <c r="K66" i="6" s="1"/>
  <c r="K67" i="6" s="1"/>
  <c r="J95" i="6"/>
  <c r="J96" i="6" s="1"/>
  <c r="J97" i="6" s="1"/>
  <c r="F107" i="6"/>
  <c r="F108" i="6" s="1"/>
  <c r="F109" i="6" s="1"/>
  <c r="D41" i="6"/>
  <c r="D42" i="6" s="1"/>
  <c r="D43" i="6" s="1"/>
  <c r="L41" i="6"/>
  <c r="L42" i="6" s="1"/>
  <c r="L43" i="6" s="1"/>
  <c r="D47" i="6"/>
  <c r="D48" i="6" s="1"/>
  <c r="D49" i="6" s="1"/>
  <c r="L47" i="6"/>
  <c r="L48" i="6" s="1"/>
  <c r="L49" i="6" s="1"/>
  <c r="D65" i="6"/>
  <c r="D66" i="6" s="1"/>
  <c r="D67" i="6" s="1"/>
  <c r="L65" i="6"/>
  <c r="L66" i="6" s="1"/>
  <c r="L67" i="6" s="1"/>
  <c r="K95" i="6"/>
  <c r="K96" i="6" s="1"/>
  <c r="K97" i="6" s="1"/>
  <c r="G107" i="6"/>
  <c r="G108" i="6" s="1"/>
  <c r="G109" i="6" s="1"/>
  <c r="E65" i="6"/>
  <c r="E66" i="6" s="1"/>
  <c r="E67" i="6" s="1"/>
  <c r="M65" i="6"/>
  <c r="M66" i="6" s="1"/>
  <c r="M67" i="6" s="1"/>
  <c r="D89" i="6"/>
  <c r="D90" i="6" s="1"/>
  <c r="D91" i="6" s="1"/>
  <c r="D95" i="6"/>
  <c r="D96" i="6" s="1"/>
  <c r="D97" i="6" s="1"/>
  <c r="L95" i="6"/>
  <c r="L96" i="6" s="1"/>
  <c r="L97" i="6" s="1"/>
  <c r="H107" i="6"/>
  <c r="H108" i="6" s="1"/>
  <c r="H109" i="6" s="1"/>
  <c r="D137" i="6"/>
  <c r="D138" i="6" s="1"/>
  <c r="D139" i="6" s="1"/>
  <c r="F41" i="6"/>
  <c r="F42" i="6" s="1"/>
  <c r="F43" i="6" s="1"/>
  <c r="F47" i="6"/>
  <c r="F48" i="6" s="1"/>
  <c r="F49" i="6" s="1"/>
  <c r="F65" i="6"/>
  <c r="F66" i="6" s="1"/>
  <c r="F67" i="6" s="1"/>
  <c r="N65" i="6"/>
  <c r="N66" i="6" s="1"/>
  <c r="N67" i="6" s="1"/>
  <c r="E71" i="6"/>
  <c r="E72" i="6" s="1"/>
  <c r="E73" i="6" s="1"/>
  <c r="E89" i="6"/>
  <c r="E90" i="6" s="1"/>
  <c r="E91" i="6" s="1"/>
  <c r="E95" i="6"/>
  <c r="E96" i="6" s="1"/>
  <c r="E97" i="6" s="1"/>
  <c r="I107" i="6"/>
  <c r="I108" i="6" s="1"/>
  <c r="I109" i="6" s="1"/>
  <c r="E113" i="6"/>
  <c r="E114" i="6" s="1"/>
  <c r="E115" i="6" s="1"/>
  <c r="G41" i="6"/>
  <c r="G42" i="6" s="1"/>
  <c r="G43" i="6" s="1"/>
  <c r="G47" i="6"/>
  <c r="G48" i="6" s="1"/>
  <c r="G49" i="6" s="1"/>
  <c r="G65" i="6"/>
  <c r="G66" i="6" s="1"/>
  <c r="G67" i="6" s="1"/>
  <c r="F71" i="6"/>
  <c r="F72" i="6" s="1"/>
  <c r="F73" i="6" s="1"/>
  <c r="G17" i="5"/>
  <c r="G18" i="5" s="1"/>
  <c r="G19" i="5" s="1"/>
  <c r="H16" i="5"/>
  <c r="I16" i="5" s="1"/>
  <c r="N46" i="5"/>
  <c r="O46" i="5" s="1"/>
  <c r="P46" i="5" s="1"/>
  <c r="M47" i="5"/>
  <c r="M48" i="5" s="1"/>
  <c r="M49" i="5" s="1"/>
  <c r="I29" i="5"/>
  <c r="I30" i="5" s="1"/>
  <c r="I31" i="5" s="1"/>
  <c r="J28" i="5"/>
  <c r="I40" i="5"/>
  <c r="H41" i="5"/>
  <c r="H42" i="5" s="1"/>
  <c r="H43" i="5" s="1"/>
  <c r="H34" i="5"/>
  <c r="I34" i="5" s="1"/>
  <c r="G35" i="5"/>
  <c r="G36" i="5" s="1"/>
  <c r="G37" i="5" s="1"/>
  <c r="N4" i="5"/>
  <c r="O4" i="5" s="1"/>
  <c r="P4" i="5" s="1"/>
  <c r="Q4" i="5" s="1"/>
  <c r="M5" i="5"/>
  <c r="M6" i="5" s="1"/>
  <c r="M7" i="5" s="1"/>
  <c r="J22" i="5"/>
  <c r="K22" i="5" s="1"/>
  <c r="I23" i="5"/>
  <c r="I24" i="5" s="1"/>
  <c r="I25" i="5" s="1"/>
  <c r="F5" i="5"/>
  <c r="F6" i="5" s="1"/>
  <c r="F7" i="5" s="1"/>
  <c r="K59" i="5"/>
  <c r="K60" i="5" s="1"/>
  <c r="K61" i="5" s="1"/>
  <c r="R59" i="5"/>
  <c r="R60" i="5" s="1"/>
  <c r="R61" i="5" s="1"/>
  <c r="J59" i="5"/>
  <c r="J60" i="5" s="1"/>
  <c r="J61" i="5" s="1"/>
  <c r="P59" i="5"/>
  <c r="P60" i="5" s="1"/>
  <c r="P61" i="5" s="1"/>
  <c r="H59" i="5"/>
  <c r="H60" i="5" s="1"/>
  <c r="H61" i="5" s="1"/>
  <c r="O59" i="5"/>
  <c r="O60" i="5" s="1"/>
  <c r="O61" i="5" s="1"/>
  <c r="G59" i="5"/>
  <c r="G60" i="5" s="1"/>
  <c r="G61" i="5" s="1"/>
  <c r="Q59" i="5"/>
  <c r="Q60" i="5" s="1"/>
  <c r="Q61" i="5" s="1"/>
  <c r="M59" i="5"/>
  <c r="M60" i="5" s="1"/>
  <c r="M61" i="5" s="1"/>
  <c r="D59" i="5"/>
  <c r="D60" i="5" s="1"/>
  <c r="D61" i="5" s="1"/>
  <c r="L59" i="5"/>
  <c r="L60" i="5" s="1"/>
  <c r="L61" i="5" s="1"/>
  <c r="I59" i="5"/>
  <c r="I60" i="5" s="1"/>
  <c r="I61" i="5" s="1"/>
  <c r="G5" i="5"/>
  <c r="G6" i="5" s="1"/>
  <c r="G7" i="5" s="1"/>
  <c r="G23" i="5"/>
  <c r="G24" i="5" s="1"/>
  <c r="G25" i="5" s="1"/>
  <c r="E35" i="5"/>
  <c r="E36" i="5" s="1"/>
  <c r="E37" i="5" s="1"/>
  <c r="J52" i="5"/>
  <c r="K52" i="5" s="1"/>
  <c r="L52" i="5" s="1"/>
  <c r="I5" i="5"/>
  <c r="I6" i="5" s="1"/>
  <c r="I7" i="5" s="1"/>
  <c r="H23" i="5"/>
  <c r="H24" i="5" s="1"/>
  <c r="H25" i="5" s="1"/>
  <c r="I47" i="5"/>
  <c r="I48" i="5" s="1"/>
  <c r="I49" i="5" s="1"/>
  <c r="H65" i="5"/>
  <c r="H66" i="5" s="1"/>
  <c r="H67" i="5" s="1"/>
  <c r="J5" i="5"/>
  <c r="J6" i="5" s="1"/>
  <c r="J7" i="5" s="1"/>
  <c r="P5" i="5"/>
  <c r="P6" i="5" s="1"/>
  <c r="P7" i="5" s="1"/>
  <c r="H5" i="5"/>
  <c r="H6" i="5" s="1"/>
  <c r="H7" i="5" s="1"/>
  <c r="K5" i="5"/>
  <c r="K6" i="5" s="1"/>
  <c r="K7" i="5" s="1"/>
  <c r="J47" i="5"/>
  <c r="J48" i="5" s="1"/>
  <c r="J49" i="5" s="1"/>
  <c r="I70" i="5"/>
  <c r="H71" i="5"/>
  <c r="H72" i="5" s="1"/>
  <c r="H73" i="5" s="1"/>
  <c r="L5" i="5"/>
  <c r="L6" i="5" s="1"/>
  <c r="L7" i="5" s="1"/>
  <c r="E53" i="5"/>
  <c r="E54" i="5" s="1"/>
  <c r="E55" i="5" s="1"/>
  <c r="E59" i="5"/>
  <c r="E60" i="5" s="1"/>
  <c r="E61" i="5" s="1"/>
  <c r="F76" i="5"/>
  <c r="E77" i="5"/>
  <c r="E78" i="5" s="1"/>
  <c r="E79" i="5" s="1"/>
  <c r="N59" i="5"/>
  <c r="N60" i="5" s="1"/>
  <c r="N61" i="5" s="1"/>
  <c r="L100" i="5"/>
  <c r="K101" i="5"/>
  <c r="K102" i="5" s="1"/>
  <c r="K103" i="5" s="1"/>
  <c r="D5" i="5"/>
  <c r="D6" i="5" s="1"/>
  <c r="D7" i="5" s="1"/>
  <c r="N5" i="5"/>
  <c r="N6" i="5" s="1"/>
  <c r="N7" i="5" s="1"/>
  <c r="F10" i="5"/>
  <c r="E17" i="5"/>
  <c r="E18" i="5" s="1"/>
  <c r="E19" i="5" s="1"/>
  <c r="E5" i="5"/>
  <c r="E6" i="5" s="1"/>
  <c r="E7" i="5" s="1"/>
  <c r="O5" i="5"/>
  <c r="O6" i="5" s="1"/>
  <c r="O7" i="5" s="1"/>
  <c r="J64" i="5"/>
  <c r="I65" i="5"/>
  <c r="I66" i="5" s="1"/>
  <c r="I67" i="5" s="1"/>
  <c r="G71" i="5"/>
  <c r="G72" i="5" s="1"/>
  <c r="G73" i="5" s="1"/>
  <c r="J83" i="5"/>
  <c r="J84" i="5" s="1"/>
  <c r="J85" i="5" s="1"/>
  <c r="I83" i="5"/>
  <c r="I84" i="5" s="1"/>
  <c r="I85" i="5" s="1"/>
  <c r="G83" i="5"/>
  <c r="G84" i="5" s="1"/>
  <c r="G85" i="5" s="1"/>
  <c r="N83" i="5"/>
  <c r="N84" i="5" s="1"/>
  <c r="N85" i="5" s="1"/>
  <c r="F83" i="5"/>
  <c r="F84" i="5" s="1"/>
  <c r="F85" i="5" s="1"/>
  <c r="L83" i="5"/>
  <c r="L84" i="5" s="1"/>
  <c r="L85" i="5" s="1"/>
  <c r="F17" i="5"/>
  <c r="F18" i="5" s="1"/>
  <c r="F19" i="5" s="1"/>
  <c r="D23" i="5"/>
  <c r="D24" i="5" s="1"/>
  <c r="D25" i="5" s="1"/>
  <c r="H29" i="5"/>
  <c r="H30" i="5" s="1"/>
  <c r="H31" i="5" s="1"/>
  <c r="F29" i="5"/>
  <c r="F30" i="5" s="1"/>
  <c r="F31" i="5" s="1"/>
  <c r="M83" i="5"/>
  <c r="M84" i="5" s="1"/>
  <c r="M85" i="5" s="1"/>
  <c r="J101" i="5"/>
  <c r="J102" i="5" s="1"/>
  <c r="J103" i="5" s="1"/>
  <c r="I101" i="5"/>
  <c r="I102" i="5" s="1"/>
  <c r="I103" i="5" s="1"/>
  <c r="G101" i="5"/>
  <c r="G102" i="5" s="1"/>
  <c r="G103" i="5" s="1"/>
  <c r="F101" i="5"/>
  <c r="F102" i="5" s="1"/>
  <c r="F103" i="5" s="1"/>
  <c r="D107" i="5"/>
  <c r="D108" i="5" s="1"/>
  <c r="D109" i="5" s="1"/>
  <c r="F89" i="5"/>
  <c r="F90" i="5" s="1"/>
  <c r="F91" i="5" s="1"/>
  <c r="M89" i="5"/>
  <c r="M90" i="5" s="1"/>
  <c r="M91" i="5" s="1"/>
  <c r="E89" i="5"/>
  <c r="E90" i="5" s="1"/>
  <c r="E91" i="5" s="1"/>
  <c r="K89" i="5"/>
  <c r="K90" i="5" s="1"/>
  <c r="K91" i="5" s="1"/>
  <c r="J89" i="5"/>
  <c r="J90" i="5" s="1"/>
  <c r="J91" i="5" s="1"/>
  <c r="L89" i="5"/>
  <c r="L90" i="5" s="1"/>
  <c r="L91" i="5" s="1"/>
  <c r="F95" i="5"/>
  <c r="F96" i="5" s="1"/>
  <c r="F97" i="5" s="1"/>
  <c r="E107" i="5"/>
  <c r="E108" i="5" s="1"/>
  <c r="E109" i="5" s="1"/>
  <c r="F131" i="5"/>
  <c r="F132" i="5" s="1"/>
  <c r="F133" i="5" s="1"/>
  <c r="G130" i="5"/>
  <c r="F23" i="5"/>
  <c r="F24" i="5" s="1"/>
  <c r="F25" i="5" s="1"/>
  <c r="E29" i="5"/>
  <c r="E30" i="5" s="1"/>
  <c r="E31" i="5" s="1"/>
  <c r="G47" i="5"/>
  <c r="G48" i="5" s="1"/>
  <c r="G49" i="5" s="1"/>
  <c r="F47" i="5"/>
  <c r="F48" i="5" s="1"/>
  <c r="F49" i="5" s="1"/>
  <c r="L47" i="5"/>
  <c r="L48" i="5" s="1"/>
  <c r="L49" i="5" s="1"/>
  <c r="D47" i="5"/>
  <c r="D48" i="5" s="1"/>
  <c r="D49" i="5" s="1"/>
  <c r="K47" i="5"/>
  <c r="K48" i="5" s="1"/>
  <c r="K49" i="5" s="1"/>
  <c r="H47" i="5"/>
  <c r="H48" i="5" s="1"/>
  <c r="H49" i="5" s="1"/>
  <c r="E47" i="5"/>
  <c r="E48" i="5" s="1"/>
  <c r="E49" i="5" s="1"/>
  <c r="H94" i="5"/>
  <c r="G95" i="5"/>
  <c r="G96" i="5" s="1"/>
  <c r="G97" i="5" s="1"/>
  <c r="E137" i="5"/>
  <c r="E138" i="5" s="1"/>
  <c r="E139" i="5" s="1"/>
  <c r="D137" i="5"/>
  <c r="D138" i="5" s="1"/>
  <c r="D139" i="5" s="1"/>
  <c r="D83" i="5"/>
  <c r="D84" i="5" s="1"/>
  <c r="D85" i="5" s="1"/>
  <c r="E101" i="5"/>
  <c r="E102" i="5" s="1"/>
  <c r="E103" i="5" s="1"/>
  <c r="G113" i="5"/>
  <c r="G114" i="5" s="1"/>
  <c r="G115" i="5" s="1"/>
  <c r="H112" i="5"/>
  <c r="G124" i="5"/>
  <c r="H124" i="5" s="1"/>
  <c r="F125" i="5"/>
  <c r="F126" i="5" s="1"/>
  <c r="F127" i="5" s="1"/>
  <c r="J107" i="5"/>
  <c r="J108" i="5" s="1"/>
  <c r="J109" i="5" s="1"/>
  <c r="I107" i="5"/>
  <c r="I108" i="5" s="1"/>
  <c r="I109" i="5" s="1"/>
  <c r="G107" i="5"/>
  <c r="G108" i="5" s="1"/>
  <c r="G109" i="5" s="1"/>
  <c r="F107" i="5"/>
  <c r="F108" i="5" s="1"/>
  <c r="F109" i="5" s="1"/>
  <c r="H118" i="5"/>
  <c r="G119" i="5"/>
  <c r="G120" i="5" s="1"/>
  <c r="G121" i="5" s="1"/>
  <c r="K83" i="5"/>
  <c r="K84" i="5" s="1"/>
  <c r="K85" i="5" s="1"/>
  <c r="H89" i="5"/>
  <c r="H90" i="5" s="1"/>
  <c r="H91" i="5" s="1"/>
  <c r="F35" i="5"/>
  <c r="F36" i="5" s="1"/>
  <c r="F37" i="5" s="1"/>
  <c r="G41" i="5"/>
  <c r="G42" i="5" s="1"/>
  <c r="G43" i="5" s="1"/>
  <c r="F41" i="5"/>
  <c r="F42" i="5" s="1"/>
  <c r="F43" i="5" s="1"/>
  <c r="D41" i="5"/>
  <c r="D42" i="5" s="1"/>
  <c r="D43" i="5" s="1"/>
  <c r="G65" i="5"/>
  <c r="G66" i="5" s="1"/>
  <c r="G67" i="5" s="1"/>
  <c r="F65" i="5"/>
  <c r="F66" i="5" s="1"/>
  <c r="F67" i="5" s="1"/>
  <c r="D65" i="5"/>
  <c r="D66" i="5" s="1"/>
  <c r="D67" i="5" s="1"/>
  <c r="F119" i="5"/>
  <c r="F120" i="5" s="1"/>
  <c r="F121" i="5" s="1"/>
  <c r="G53" i="5"/>
  <c r="G54" i="5" s="1"/>
  <c r="G55" i="5" s="1"/>
  <c r="H53" i="5"/>
  <c r="H54" i="5" s="1"/>
  <c r="H55" i="5" s="1"/>
  <c r="E71" i="5"/>
  <c r="E72" i="5" s="1"/>
  <c r="E73" i="5" s="1"/>
  <c r="E95" i="5"/>
  <c r="E96" i="5" s="1"/>
  <c r="E97" i="5" s="1"/>
  <c r="E113" i="5"/>
  <c r="E114" i="5" s="1"/>
  <c r="E115" i="5" s="1"/>
  <c r="E119" i="5"/>
  <c r="E120" i="5" s="1"/>
  <c r="E121" i="5" s="1"/>
  <c r="K53" i="5"/>
  <c r="K54" i="5" s="1"/>
  <c r="K55" i="5" s="1"/>
  <c r="F71" i="5"/>
  <c r="F72" i="5" s="1"/>
  <c r="F73" i="5" s="1"/>
  <c r="D144" i="2"/>
  <c r="D145" i="2" s="1"/>
  <c r="E136" i="2"/>
  <c r="E137" i="2" s="1"/>
  <c r="E112" i="2"/>
  <c r="E113" i="2" s="1"/>
  <c r="E106" i="2"/>
  <c r="E58" i="2"/>
  <c r="E142" i="2"/>
  <c r="E130" i="2"/>
  <c r="E131" i="2" s="1"/>
  <c r="E124" i="2"/>
  <c r="E125" i="2" s="1"/>
  <c r="E118" i="2"/>
  <c r="E119" i="2" s="1"/>
  <c r="E102" i="2"/>
  <c r="E103" i="2" s="1"/>
  <c r="F100" i="2"/>
  <c r="F101" i="2" s="1"/>
  <c r="E94" i="2"/>
  <c r="E95" i="2" s="1"/>
  <c r="E88" i="2"/>
  <c r="E89" i="2" s="1"/>
  <c r="E82" i="2"/>
  <c r="E83" i="2" s="1"/>
  <c r="E76" i="2"/>
  <c r="E77" i="2" s="1"/>
  <c r="E70" i="2"/>
  <c r="E71" i="2" s="1"/>
  <c r="E64" i="2"/>
  <c r="E52" i="2"/>
  <c r="E53" i="2" s="1"/>
  <c r="E46" i="2"/>
  <c r="E47" i="2" s="1"/>
  <c r="F40" i="2"/>
  <c r="F41" i="2" s="1"/>
  <c r="F34" i="2"/>
  <c r="G34" i="2" s="1"/>
  <c r="F30" i="2"/>
  <c r="F31" i="2" s="1"/>
  <c r="G28" i="2"/>
  <c r="H28" i="2" s="1"/>
  <c r="F22" i="2"/>
  <c r="G16" i="2"/>
  <c r="G17" i="2" s="1"/>
  <c r="C4" i="2"/>
  <c r="D5" i="2" s="1"/>
  <c r="D6" i="2" s="1"/>
  <c r="D7" i="2" s="1"/>
  <c r="F35" i="2" l="1"/>
  <c r="I23" i="6"/>
  <c r="I24" i="6" s="1"/>
  <c r="I25" i="6" s="1"/>
  <c r="I17" i="6"/>
  <c r="I18" i="6" s="1"/>
  <c r="I19" i="6" s="1"/>
  <c r="J53" i="5"/>
  <c r="J54" i="5" s="1"/>
  <c r="J55" i="5" s="1"/>
  <c r="K35" i="6"/>
  <c r="K36" i="6" s="1"/>
  <c r="K37" i="6" s="1"/>
  <c r="I35" i="6"/>
  <c r="I36" i="6" s="1"/>
  <c r="I37" i="6" s="1"/>
  <c r="G35" i="6"/>
  <c r="G36" i="6" s="1"/>
  <c r="G37" i="6" s="1"/>
  <c r="N47" i="5"/>
  <c r="N48" i="5" s="1"/>
  <c r="N49" i="5" s="1"/>
  <c r="J35" i="6"/>
  <c r="J36" i="6" s="1"/>
  <c r="J37" i="6" s="1"/>
  <c r="O47" i="5"/>
  <c r="O48" i="5" s="1"/>
  <c r="O49" i="5" s="1"/>
  <c r="N41" i="6"/>
  <c r="N42" i="6" s="1"/>
  <c r="N43" i="6" s="1"/>
  <c r="K11" i="6"/>
  <c r="K12" i="6" s="1"/>
  <c r="K13" i="6" s="1"/>
  <c r="O40" i="7"/>
  <c r="N41" i="7"/>
  <c r="N42" i="7" s="1"/>
  <c r="N43" i="7" s="1"/>
  <c r="I94" i="7"/>
  <c r="H95" i="7"/>
  <c r="H96" i="7" s="1"/>
  <c r="H97" i="7" s="1"/>
  <c r="L22" i="7"/>
  <c r="K23" i="7"/>
  <c r="K24" i="7" s="1"/>
  <c r="K25" i="7" s="1"/>
  <c r="K70" i="7"/>
  <c r="J71" i="7"/>
  <c r="J72" i="7" s="1"/>
  <c r="J73" i="7" s="1"/>
  <c r="I4" i="7"/>
  <c r="H5" i="7"/>
  <c r="H6" i="7" s="1"/>
  <c r="H7" i="7" s="1"/>
  <c r="M52" i="7"/>
  <c r="L53" i="7"/>
  <c r="L54" i="7" s="1"/>
  <c r="L55" i="7" s="1"/>
  <c r="P46" i="7"/>
  <c r="O47" i="7"/>
  <c r="O48" i="7" s="1"/>
  <c r="O49" i="7" s="1"/>
  <c r="I112" i="7"/>
  <c r="H113" i="7"/>
  <c r="H114" i="7" s="1"/>
  <c r="H115" i="7" s="1"/>
  <c r="J100" i="7"/>
  <c r="I101" i="7"/>
  <c r="I102" i="7" s="1"/>
  <c r="I103" i="7" s="1"/>
  <c r="N88" i="7"/>
  <c r="M89" i="7"/>
  <c r="M90" i="7" s="1"/>
  <c r="M91" i="7" s="1"/>
  <c r="N28" i="7"/>
  <c r="M29" i="7"/>
  <c r="M30" i="7" s="1"/>
  <c r="M31" i="7" s="1"/>
  <c r="L16" i="7"/>
  <c r="K17" i="7"/>
  <c r="K18" i="7" s="1"/>
  <c r="K19" i="7" s="1"/>
  <c r="O82" i="7"/>
  <c r="N83" i="7"/>
  <c r="N84" i="7" s="1"/>
  <c r="N85" i="7" s="1"/>
  <c r="I10" i="7"/>
  <c r="H11" i="7"/>
  <c r="H12" i="7" s="1"/>
  <c r="H13" i="7" s="1"/>
  <c r="I59" i="7"/>
  <c r="I60" i="7" s="1"/>
  <c r="I61" i="7" s="1"/>
  <c r="J58" i="7"/>
  <c r="I28" i="2"/>
  <c r="I29" i="2" s="1"/>
  <c r="H29" i="2"/>
  <c r="O41" i="6"/>
  <c r="O42" i="6" s="1"/>
  <c r="O43" i="6" s="1"/>
  <c r="F23" i="2"/>
  <c r="F24" i="2" s="1"/>
  <c r="F25" i="2" s="1"/>
  <c r="G125" i="6"/>
  <c r="G126" i="6" s="1"/>
  <c r="G127" i="6" s="1"/>
  <c r="E59" i="2"/>
  <c r="E60" i="2" s="1"/>
  <c r="E61" i="2" s="1"/>
  <c r="H17" i="5"/>
  <c r="H18" i="5" s="1"/>
  <c r="H19" i="5" s="1"/>
  <c r="G29" i="2"/>
  <c r="G30" i="2" s="1"/>
  <c r="G31" i="2" s="1"/>
  <c r="G35" i="2"/>
  <c r="G36" i="2" s="1"/>
  <c r="G37" i="2" s="1"/>
  <c r="K5" i="2"/>
  <c r="K6" i="2" s="1"/>
  <c r="K7" i="2" s="1"/>
  <c r="S5" i="2"/>
  <c r="S6" i="2" s="1"/>
  <c r="S7" i="2" s="1"/>
  <c r="AA5" i="2"/>
  <c r="L5" i="2"/>
  <c r="L6" i="2" s="1"/>
  <c r="L7" i="2" s="1"/>
  <c r="T5" i="2"/>
  <c r="T6" i="2" s="1"/>
  <c r="T7" i="2" s="1"/>
  <c r="E5" i="2"/>
  <c r="E6" i="2" s="1"/>
  <c r="E7" i="2" s="1"/>
  <c r="H5" i="2"/>
  <c r="H6" i="2" s="1"/>
  <c r="H7" i="2" s="1"/>
  <c r="P5" i="2"/>
  <c r="P6" i="2" s="1"/>
  <c r="P7" i="2" s="1"/>
  <c r="X5" i="2"/>
  <c r="X6" i="2" s="1"/>
  <c r="X7" i="2" s="1"/>
  <c r="J5" i="2"/>
  <c r="J6" i="2" s="1"/>
  <c r="J7" i="2" s="1"/>
  <c r="I5" i="2"/>
  <c r="I6" i="2" s="1"/>
  <c r="I7" i="2" s="1"/>
  <c r="Q5" i="2"/>
  <c r="Q6" i="2" s="1"/>
  <c r="Q7" i="2" s="1"/>
  <c r="Y5" i="2"/>
  <c r="Y6" i="2" s="1"/>
  <c r="Y7" i="2" s="1"/>
  <c r="O5" i="2"/>
  <c r="O6" i="2" s="1"/>
  <c r="O7" i="2" s="1"/>
  <c r="M5" i="2"/>
  <c r="M6" i="2" s="1"/>
  <c r="M7" i="2" s="1"/>
  <c r="F5" i="2"/>
  <c r="F6" i="2" s="1"/>
  <c r="F7" i="2" s="1"/>
  <c r="R5" i="2"/>
  <c r="R6" i="2" s="1"/>
  <c r="R7" i="2" s="1"/>
  <c r="V5" i="2"/>
  <c r="V6" i="2" s="1"/>
  <c r="V7" i="2" s="1"/>
  <c r="G5" i="2"/>
  <c r="G6" i="2" s="1"/>
  <c r="G7" i="2" s="1"/>
  <c r="U5" i="2"/>
  <c r="U6" i="2" s="1"/>
  <c r="U7" i="2" s="1"/>
  <c r="N5" i="2"/>
  <c r="N6" i="2" s="1"/>
  <c r="N7" i="2" s="1"/>
  <c r="W5" i="2"/>
  <c r="W6" i="2" s="1"/>
  <c r="W7" i="2" s="1"/>
  <c r="Z5" i="2"/>
  <c r="Z6" i="2" s="1"/>
  <c r="Z7" i="2" s="1"/>
  <c r="E107" i="2"/>
  <c r="E108" i="2" s="1"/>
  <c r="E109" i="2" s="1"/>
  <c r="H35" i="5"/>
  <c r="H36" i="5" s="1"/>
  <c r="H37" i="5" s="1"/>
  <c r="G29" i="6"/>
  <c r="G30" i="6" s="1"/>
  <c r="G31" i="6" s="1"/>
  <c r="E114" i="2"/>
  <c r="E115" i="2" s="1"/>
  <c r="E138" i="2"/>
  <c r="E139" i="2" s="1"/>
  <c r="I89" i="6"/>
  <c r="I90" i="6" s="1"/>
  <c r="I91" i="6" s="1"/>
  <c r="Q65" i="6"/>
  <c r="Q66" i="6" s="1"/>
  <c r="Q67" i="6" s="1"/>
  <c r="H35" i="6"/>
  <c r="H36" i="6" s="1"/>
  <c r="H37" i="6" s="1"/>
  <c r="G11" i="6"/>
  <c r="G12" i="6" s="1"/>
  <c r="G13" i="6" s="1"/>
  <c r="G5" i="6"/>
  <c r="G6" i="6" s="1"/>
  <c r="G7" i="6" s="1"/>
  <c r="G53" i="6"/>
  <c r="G54" i="6" s="1"/>
  <c r="G55" i="6" s="1"/>
  <c r="H52" i="6"/>
  <c r="I83" i="6"/>
  <c r="I84" i="6" s="1"/>
  <c r="I85" i="6" s="1"/>
  <c r="N47" i="6"/>
  <c r="N48" i="6" s="1"/>
  <c r="N49" i="6" s="1"/>
  <c r="G83" i="6"/>
  <c r="G84" i="6" s="1"/>
  <c r="G85" i="6" s="1"/>
  <c r="O47" i="6"/>
  <c r="O48" i="6" s="1"/>
  <c r="O49" i="6" s="1"/>
  <c r="Q40" i="6"/>
  <c r="P41" i="6"/>
  <c r="P42" i="6" s="1"/>
  <c r="P43" i="6" s="1"/>
  <c r="H77" i="6"/>
  <c r="H78" i="6" s="1"/>
  <c r="H79" i="6" s="1"/>
  <c r="I76" i="6"/>
  <c r="L82" i="6"/>
  <c r="K83" i="6"/>
  <c r="K84" i="6" s="1"/>
  <c r="K85" i="6" s="1"/>
  <c r="H83" i="6"/>
  <c r="H84" i="6" s="1"/>
  <c r="H85" i="6" s="1"/>
  <c r="G77" i="6"/>
  <c r="G78" i="6" s="1"/>
  <c r="G79" i="6" s="1"/>
  <c r="L35" i="6"/>
  <c r="L36" i="6" s="1"/>
  <c r="L37" i="6" s="1"/>
  <c r="M34" i="6"/>
  <c r="J112" i="6"/>
  <c r="I113" i="6"/>
  <c r="I114" i="6" s="1"/>
  <c r="I115" i="6" s="1"/>
  <c r="H118" i="6"/>
  <c r="G119" i="6"/>
  <c r="G120" i="6" s="1"/>
  <c r="G121" i="6" s="1"/>
  <c r="F119" i="6"/>
  <c r="F120" i="6" s="1"/>
  <c r="F121" i="6" s="1"/>
  <c r="H5" i="6"/>
  <c r="H6" i="6" s="1"/>
  <c r="H7" i="6" s="1"/>
  <c r="I4" i="6"/>
  <c r="J83" i="6"/>
  <c r="J84" i="6" s="1"/>
  <c r="J85" i="6" s="1"/>
  <c r="N11" i="6"/>
  <c r="N12" i="6" s="1"/>
  <c r="N13" i="6" s="1"/>
  <c r="O10" i="6"/>
  <c r="J23" i="6"/>
  <c r="J24" i="6" s="1"/>
  <c r="J25" i="6" s="1"/>
  <c r="K22" i="6"/>
  <c r="I28" i="6"/>
  <c r="H29" i="6"/>
  <c r="H30" i="6" s="1"/>
  <c r="H31" i="6" s="1"/>
  <c r="J17" i="6"/>
  <c r="J18" i="6" s="1"/>
  <c r="J19" i="6" s="1"/>
  <c r="K16" i="6"/>
  <c r="Q46" i="6"/>
  <c r="P47" i="6"/>
  <c r="P48" i="6" s="1"/>
  <c r="P49" i="6" s="1"/>
  <c r="F53" i="6"/>
  <c r="F54" i="6" s="1"/>
  <c r="F55" i="6" s="1"/>
  <c r="J70" i="6"/>
  <c r="I71" i="6"/>
  <c r="I72" i="6" s="1"/>
  <c r="I73" i="6" s="1"/>
  <c r="J89" i="6"/>
  <c r="J90" i="6" s="1"/>
  <c r="J91" i="6" s="1"/>
  <c r="K88" i="6"/>
  <c r="G125" i="5"/>
  <c r="G126" i="5" s="1"/>
  <c r="G127" i="5" s="1"/>
  <c r="K23" i="5"/>
  <c r="K24" i="5" s="1"/>
  <c r="K25" i="5" s="1"/>
  <c r="L22" i="5"/>
  <c r="K28" i="5"/>
  <c r="J29" i="5"/>
  <c r="J30" i="5" s="1"/>
  <c r="J31" i="5" s="1"/>
  <c r="I112" i="5"/>
  <c r="H113" i="5"/>
  <c r="H114" i="5" s="1"/>
  <c r="H115" i="5" s="1"/>
  <c r="J23" i="5"/>
  <c r="J24" i="5" s="1"/>
  <c r="J25" i="5" s="1"/>
  <c r="K64" i="5"/>
  <c r="J65" i="5"/>
  <c r="J66" i="5" s="1"/>
  <c r="J67" i="5" s="1"/>
  <c r="I118" i="5"/>
  <c r="H119" i="5"/>
  <c r="H120" i="5" s="1"/>
  <c r="H121" i="5" s="1"/>
  <c r="H95" i="5"/>
  <c r="H96" i="5" s="1"/>
  <c r="H97" i="5" s="1"/>
  <c r="I94" i="5"/>
  <c r="G76" i="5"/>
  <c r="F77" i="5"/>
  <c r="F78" i="5" s="1"/>
  <c r="F79" i="5" s="1"/>
  <c r="J40" i="5"/>
  <c r="I41" i="5"/>
  <c r="I42" i="5" s="1"/>
  <c r="I43" i="5" s="1"/>
  <c r="R4" i="5"/>
  <c r="Q5" i="5"/>
  <c r="Q6" i="5" s="1"/>
  <c r="Q7" i="5" s="1"/>
  <c r="Q46" i="5"/>
  <c r="P47" i="5"/>
  <c r="P48" i="5" s="1"/>
  <c r="P49" i="5" s="1"/>
  <c r="G10" i="5"/>
  <c r="F11" i="5"/>
  <c r="F12" i="5" s="1"/>
  <c r="F13" i="5" s="1"/>
  <c r="M52" i="5"/>
  <c r="L53" i="5"/>
  <c r="L54" i="5" s="1"/>
  <c r="L55" i="5" s="1"/>
  <c r="J34" i="5"/>
  <c r="I35" i="5"/>
  <c r="I36" i="5" s="1"/>
  <c r="I37" i="5" s="1"/>
  <c r="J16" i="5"/>
  <c r="I17" i="5"/>
  <c r="I18" i="5" s="1"/>
  <c r="I19" i="5" s="1"/>
  <c r="I71" i="5"/>
  <c r="I72" i="5" s="1"/>
  <c r="I73" i="5" s="1"/>
  <c r="J70" i="5"/>
  <c r="F106" i="2"/>
  <c r="F136" i="2"/>
  <c r="F112" i="2"/>
  <c r="F58" i="2"/>
  <c r="E132" i="2"/>
  <c r="E133" i="2" s="1"/>
  <c r="F130" i="2"/>
  <c r="F131" i="2" s="1"/>
  <c r="E126" i="2"/>
  <c r="E127" i="2" s="1"/>
  <c r="F124" i="2"/>
  <c r="F125" i="2" s="1"/>
  <c r="E120" i="2"/>
  <c r="E121" i="2" s="1"/>
  <c r="F118" i="2"/>
  <c r="F119" i="2" s="1"/>
  <c r="F102" i="2"/>
  <c r="F103" i="2" s="1"/>
  <c r="G100" i="2"/>
  <c r="G101" i="2" s="1"/>
  <c r="F94" i="2"/>
  <c r="F95" i="2" s="1"/>
  <c r="E96" i="2"/>
  <c r="E97" i="2" s="1"/>
  <c r="E90" i="2"/>
  <c r="E91" i="2" s="1"/>
  <c r="F88" i="2"/>
  <c r="F89" i="2" s="1"/>
  <c r="E84" i="2"/>
  <c r="E85" i="2" s="1"/>
  <c r="F82" i="2"/>
  <c r="F83" i="2" s="1"/>
  <c r="E78" i="2"/>
  <c r="E79" i="2" s="1"/>
  <c r="F76" i="2"/>
  <c r="F77" i="2" s="1"/>
  <c r="E72" i="2"/>
  <c r="E73" i="2" s="1"/>
  <c r="F70" i="2"/>
  <c r="F71" i="2" s="1"/>
  <c r="E66" i="2"/>
  <c r="E67" i="2" s="1"/>
  <c r="F64" i="2"/>
  <c r="F65" i="2" s="1"/>
  <c r="E54" i="2"/>
  <c r="E55" i="2" s="1"/>
  <c r="F52" i="2"/>
  <c r="F53" i="2" s="1"/>
  <c r="F46" i="2"/>
  <c r="F47" i="2" s="1"/>
  <c r="E48" i="2"/>
  <c r="E49" i="2" s="1"/>
  <c r="G40" i="2"/>
  <c r="G41" i="2" s="1"/>
  <c r="F42" i="2"/>
  <c r="F43" i="2" s="1"/>
  <c r="H30" i="2"/>
  <c r="H31" i="2" s="1"/>
  <c r="F36" i="2"/>
  <c r="F37" i="2" s="1"/>
  <c r="H34" i="2"/>
  <c r="I30" i="2"/>
  <c r="I31" i="2" s="1"/>
  <c r="J28" i="2"/>
  <c r="J29" i="2" s="1"/>
  <c r="G22" i="2"/>
  <c r="H16" i="2"/>
  <c r="H17" i="2" s="1"/>
  <c r="G18" i="2"/>
  <c r="G19" i="2" s="1"/>
  <c r="E12" i="2"/>
  <c r="E13" i="2" s="1"/>
  <c r="AA6" i="2" l="1"/>
  <c r="AA7" i="2" s="1"/>
  <c r="AD5" i="2"/>
  <c r="J112" i="7"/>
  <c r="I113" i="7"/>
  <c r="I114" i="7" s="1"/>
  <c r="I115" i="7" s="1"/>
  <c r="K58" i="7"/>
  <c r="J59" i="7"/>
  <c r="J60" i="7" s="1"/>
  <c r="J61" i="7" s="1"/>
  <c r="O28" i="7"/>
  <c r="N29" i="7"/>
  <c r="N30" i="7" s="1"/>
  <c r="N31" i="7" s="1"/>
  <c r="Q46" i="7"/>
  <c r="P47" i="7"/>
  <c r="P48" i="7" s="1"/>
  <c r="P49" i="7" s="1"/>
  <c r="M22" i="7"/>
  <c r="L23" i="7"/>
  <c r="L24" i="7" s="1"/>
  <c r="L25" i="7" s="1"/>
  <c r="L70" i="7"/>
  <c r="K71" i="7"/>
  <c r="K72" i="7" s="1"/>
  <c r="K73" i="7" s="1"/>
  <c r="J10" i="7"/>
  <c r="I11" i="7"/>
  <c r="I12" i="7" s="1"/>
  <c r="I13" i="7" s="1"/>
  <c r="N52" i="7"/>
  <c r="M53" i="7"/>
  <c r="M54" i="7" s="1"/>
  <c r="M55" i="7" s="1"/>
  <c r="I95" i="7"/>
  <c r="I96" i="7" s="1"/>
  <c r="I97" i="7" s="1"/>
  <c r="J94" i="7"/>
  <c r="M16" i="7"/>
  <c r="L17" i="7"/>
  <c r="L18" i="7" s="1"/>
  <c r="L19" i="7" s="1"/>
  <c r="J101" i="7"/>
  <c r="J102" i="7" s="1"/>
  <c r="J103" i="7" s="1"/>
  <c r="K100" i="7"/>
  <c r="J4" i="7"/>
  <c r="I5" i="7"/>
  <c r="I6" i="7" s="1"/>
  <c r="I7" i="7" s="1"/>
  <c r="P40" i="7"/>
  <c r="O41" i="7"/>
  <c r="O42" i="7" s="1"/>
  <c r="O43" i="7" s="1"/>
  <c r="H22" i="2"/>
  <c r="H23" i="2" s="1"/>
  <c r="H24" i="2" s="1"/>
  <c r="H25" i="2" s="1"/>
  <c r="G23" i="2"/>
  <c r="G24" i="2" s="1"/>
  <c r="G25" i="2" s="1"/>
  <c r="G58" i="2"/>
  <c r="G59" i="2" s="1"/>
  <c r="F59" i="2"/>
  <c r="H35" i="2"/>
  <c r="H36" i="2" s="1"/>
  <c r="H37" i="2" s="1"/>
  <c r="G106" i="2"/>
  <c r="G107" i="2" s="1"/>
  <c r="G108" i="2" s="1"/>
  <c r="G109" i="2" s="1"/>
  <c r="F107" i="2"/>
  <c r="F108" i="2" s="1"/>
  <c r="F109" i="2" s="1"/>
  <c r="G112" i="2"/>
  <c r="G113" i="2" s="1"/>
  <c r="G114" i="2" s="1"/>
  <c r="G115" i="2" s="1"/>
  <c r="F113" i="2"/>
  <c r="F114" i="2" s="1"/>
  <c r="F115" i="2" s="1"/>
  <c r="R40" i="6"/>
  <c r="Q41" i="6"/>
  <c r="Q42" i="6" s="1"/>
  <c r="Q43" i="6" s="1"/>
  <c r="L88" i="6"/>
  <c r="K89" i="6"/>
  <c r="K90" i="6" s="1"/>
  <c r="K91" i="6" s="1"/>
  <c r="I118" i="6"/>
  <c r="H119" i="6"/>
  <c r="H120" i="6" s="1"/>
  <c r="H121" i="6" s="1"/>
  <c r="M82" i="6"/>
  <c r="L83" i="6"/>
  <c r="L84" i="6" s="1"/>
  <c r="L85" i="6" s="1"/>
  <c r="J28" i="6"/>
  <c r="I29" i="6"/>
  <c r="I30" i="6" s="1"/>
  <c r="I31" i="6" s="1"/>
  <c r="K70" i="6"/>
  <c r="J71" i="6"/>
  <c r="J72" i="6" s="1"/>
  <c r="J73" i="6" s="1"/>
  <c r="L22" i="6"/>
  <c r="K23" i="6"/>
  <c r="K24" i="6" s="1"/>
  <c r="K25" i="6" s="1"/>
  <c r="P10" i="6"/>
  <c r="O11" i="6"/>
  <c r="O12" i="6" s="1"/>
  <c r="O13" i="6" s="1"/>
  <c r="J76" i="6"/>
  <c r="I77" i="6"/>
  <c r="I78" i="6" s="1"/>
  <c r="I79" i="6" s="1"/>
  <c r="I52" i="6"/>
  <c r="H53" i="6"/>
  <c r="H54" i="6" s="1"/>
  <c r="H55" i="6" s="1"/>
  <c r="J4" i="6"/>
  <c r="I5" i="6"/>
  <c r="I6" i="6" s="1"/>
  <c r="I7" i="6" s="1"/>
  <c r="R46" i="6"/>
  <c r="Q47" i="6"/>
  <c r="Q48" i="6" s="1"/>
  <c r="Q49" i="6" s="1"/>
  <c r="L16" i="6"/>
  <c r="K17" i="6"/>
  <c r="K18" i="6" s="1"/>
  <c r="K19" i="6" s="1"/>
  <c r="N34" i="6"/>
  <c r="M35" i="6"/>
  <c r="M36" i="6" s="1"/>
  <c r="M37" i="6" s="1"/>
  <c r="J41" i="5"/>
  <c r="J42" i="5" s="1"/>
  <c r="J43" i="5" s="1"/>
  <c r="K40" i="5"/>
  <c r="H10" i="5"/>
  <c r="G11" i="5"/>
  <c r="G12" i="5" s="1"/>
  <c r="G13" i="5" s="1"/>
  <c r="J94" i="5"/>
  <c r="I95" i="5"/>
  <c r="I96" i="5" s="1"/>
  <c r="I97" i="5" s="1"/>
  <c r="J112" i="5"/>
  <c r="I113" i="5"/>
  <c r="I114" i="5" s="1"/>
  <c r="I115" i="5" s="1"/>
  <c r="M53" i="5"/>
  <c r="M54" i="5" s="1"/>
  <c r="M55" i="5" s="1"/>
  <c r="N52" i="5"/>
  <c r="H76" i="5"/>
  <c r="G77" i="5"/>
  <c r="G78" i="5" s="1"/>
  <c r="G79" i="5" s="1"/>
  <c r="K16" i="5"/>
  <c r="J17" i="5"/>
  <c r="J18" i="5" s="1"/>
  <c r="J19" i="5" s="1"/>
  <c r="R46" i="5"/>
  <c r="Q47" i="5"/>
  <c r="Q48" i="5" s="1"/>
  <c r="Q49" i="5" s="1"/>
  <c r="K70" i="5"/>
  <c r="J71" i="5"/>
  <c r="J72" i="5" s="1"/>
  <c r="J73" i="5" s="1"/>
  <c r="K29" i="5"/>
  <c r="K30" i="5" s="1"/>
  <c r="K31" i="5" s="1"/>
  <c r="L28" i="5"/>
  <c r="L64" i="5"/>
  <c r="K65" i="5"/>
  <c r="K66" i="5" s="1"/>
  <c r="K67" i="5" s="1"/>
  <c r="J35" i="5"/>
  <c r="J36" i="5" s="1"/>
  <c r="J37" i="5" s="1"/>
  <c r="K34" i="5"/>
  <c r="S4" i="5"/>
  <c r="R5" i="5"/>
  <c r="R6" i="5" s="1"/>
  <c r="R7" i="5" s="1"/>
  <c r="M22" i="5"/>
  <c r="L23" i="5"/>
  <c r="L24" i="5" s="1"/>
  <c r="L25" i="5" s="1"/>
  <c r="F60" i="2"/>
  <c r="F61" i="2" s="1"/>
  <c r="G130" i="2"/>
  <c r="F132" i="2"/>
  <c r="F133" i="2" s="1"/>
  <c r="G124" i="2"/>
  <c r="G125" i="2" s="1"/>
  <c r="F126" i="2"/>
  <c r="F127" i="2" s="1"/>
  <c r="G118" i="2"/>
  <c r="G119" i="2" s="1"/>
  <c r="F120" i="2"/>
  <c r="F121" i="2" s="1"/>
  <c r="H100" i="2"/>
  <c r="H101" i="2" s="1"/>
  <c r="G102" i="2"/>
  <c r="G103" i="2" s="1"/>
  <c r="G94" i="2"/>
  <c r="G95" i="2" s="1"/>
  <c r="F96" i="2"/>
  <c r="F97" i="2" s="1"/>
  <c r="G88" i="2"/>
  <c r="G89" i="2" s="1"/>
  <c r="F90" i="2"/>
  <c r="F91" i="2" s="1"/>
  <c r="G82" i="2"/>
  <c r="G83" i="2" s="1"/>
  <c r="F84" i="2"/>
  <c r="F85" i="2" s="1"/>
  <c r="F78" i="2"/>
  <c r="F79" i="2" s="1"/>
  <c r="G76" i="2"/>
  <c r="G77" i="2" s="1"/>
  <c r="G70" i="2"/>
  <c r="G71" i="2" s="1"/>
  <c r="F72" i="2"/>
  <c r="F73" i="2" s="1"/>
  <c r="G64" i="2"/>
  <c r="G65" i="2" s="1"/>
  <c r="F66" i="2"/>
  <c r="F67" i="2" s="1"/>
  <c r="H58" i="2"/>
  <c r="H59" i="2" s="1"/>
  <c r="G60" i="2"/>
  <c r="G61" i="2" s="1"/>
  <c r="G52" i="2"/>
  <c r="G53" i="2" s="1"/>
  <c r="F54" i="2"/>
  <c r="F55" i="2" s="1"/>
  <c r="F48" i="2"/>
  <c r="F49" i="2" s="1"/>
  <c r="G46" i="2"/>
  <c r="G47" i="2" s="1"/>
  <c r="H40" i="2"/>
  <c r="H41" i="2" s="1"/>
  <c r="G42" i="2"/>
  <c r="G43" i="2" s="1"/>
  <c r="I34" i="2"/>
  <c r="J30" i="2"/>
  <c r="J31" i="2" s="1"/>
  <c r="K28" i="2"/>
  <c r="K29" i="2" s="1"/>
  <c r="I16" i="2"/>
  <c r="I17" i="2" s="1"/>
  <c r="H18" i="2"/>
  <c r="H19" i="2" s="1"/>
  <c r="F12" i="2"/>
  <c r="F13" i="2" s="1"/>
  <c r="H106" i="2" l="1"/>
  <c r="H107" i="2" s="1"/>
  <c r="H112" i="2"/>
  <c r="H113" i="2" s="1"/>
  <c r="I22" i="2"/>
  <c r="I23" i="2" s="1"/>
  <c r="K10" i="7"/>
  <c r="J11" i="7"/>
  <c r="J12" i="7" s="1"/>
  <c r="J13" i="7" s="1"/>
  <c r="P28" i="7"/>
  <c r="O29" i="7"/>
  <c r="O30" i="7" s="1"/>
  <c r="O31" i="7" s="1"/>
  <c r="K4" i="7"/>
  <c r="J5" i="7"/>
  <c r="J6" i="7" s="1"/>
  <c r="J7" i="7" s="1"/>
  <c r="L100" i="7"/>
  <c r="K101" i="7"/>
  <c r="K102" i="7" s="1"/>
  <c r="K103" i="7" s="1"/>
  <c r="R46" i="7"/>
  <c r="Q47" i="7"/>
  <c r="Q48" i="7" s="1"/>
  <c r="Q49" i="7" s="1"/>
  <c r="N16" i="7"/>
  <c r="M17" i="7"/>
  <c r="M18" i="7" s="1"/>
  <c r="M19" i="7" s="1"/>
  <c r="M70" i="7"/>
  <c r="L71" i="7"/>
  <c r="L72" i="7" s="1"/>
  <c r="L73" i="7" s="1"/>
  <c r="L58" i="7"/>
  <c r="K59" i="7"/>
  <c r="K60" i="7" s="1"/>
  <c r="K61" i="7" s="1"/>
  <c r="K94" i="7"/>
  <c r="J95" i="7"/>
  <c r="J96" i="7" s="1"/>
  <c r="J97" i="7" s="1"/>
  <c r="N53" i="7"/>
  <c r="N54" i="7" s="1"/>
  <c r="N55" i="7" s="1"/>
  <c r="O52" i="7"/>
  <c r="Q40" i="7"/>
  <c r="P41" i="7"/>
  <c r="P42" i="7" s="1"/>
  <c r="P43" i="7" s="1"/>
  <c r="N22" i="7"/>
  <c r="M23" i="7"/>
  <c r="M24" i="7" s="1"/>
  <c r="M25" i="7" s="1"/>
  <c r="I35" i="2"/>
  <c r="I36" i="2" s="1"/>
  <c r="I37" i="2" s="1"/>
  <c r="S46" i="6"/>
  <c r="R47" i="6"/>
  <c r="R48" i="6" s="1"/>
  <c r="R49" i="6" s="1"/>
  <c r="K4" i="6"/>
  <c r="J5" i="6"/>
  <c r="J6" i="6" s="1"/>
  <c r="J7" i="6" s="1"/>
  <c r="M22" i="6"/>
  <c r="L23" i="6"/>
  <c r="L24" i="6" s="1"/>
  <c r="L25" i="6" s="1"/>
  <c r="N82" i="6"/>
  <c r="M83" i="6"/>
  <c r="M84" i="6" s="1"/>
  <c r="M85" i="6" s="1"/>
  <c r="O34" i="6"/>
  <c r="N35" i="6"/>
  <c r="N36" i="6" s="1"/>
  <c r="N37" i="6" s="1"/>
  <c r="I53" i="6"/>
  <c r="I54" i="6" s="1"/>
  <c r="I55" i="6" s="1"/>
  <c r="J52" i="6"/>
  <c r="L70" i="6"/>
  <c r="K71" i="6"/>
  <c r="K72" i="6" s="1"/>
  <c r="K73" i="6" s="1"/>
  <c r="M88" i="6"/>
  <c r="L89" i="6"/>
  <c r="L90" i="6" s="1"/>
  <c r="L91" i="6" s="1"/>
  <c r="Q10" i="6"/>
  <c r="P11" i="6"/>
  <c r="P12" i="6" s="1"/>
  <c r="P13" i="6" s="1"/>
  <c r="M16" i="6"/>
  <c r="L17" i="6"/>
  <c r="L18" i="6" s="1"/>
  <c r="L19" i="6" s="1"/>
  <c r="K76" i="6"/>
  <c r="J77" i="6"/>
  <c r="J78" i="6" s="1"/>
  <c r="J79" i="6" s="1"/>
  <c r="J29" i="6"/>
  <c r="J30" i="6" s="1"/>
  <c r="J31" i="6" s="1"/>
  <c r="K28" i="6"/>
  <c r="S40" i="6"/>
  <c r="R41" i="6"/>
  <c r="R42" i="6" s="1"/>
  <c r="R43" i="6" s="1"/>
  <c r="S46" i="5"/>
  <c r="R47" i="5"/>
  <c r="R48" i="5" s="1"/>
  <c r="R49" i="5" s="1"/>
  <c r="M64" i="5"/>
  <c r="L65" i="5"/>
  <c r="L66" i="5" s="1"/>
  <c r="L67" i="5" s="1"/>
  <c r="L16" i="5"/>
  <c r="K17" i="5"/>
  <c r="K18" i="5" s="1"/>
  <c r="K19" i="5" s="1"/>
  <c r="K94" i="5"/>
  <c r="J95" i="5"/>
  <c r="J96" i="5" s="1"/>
  <c r="J97" i="5" s="1"/>
  <c r="L34" i="5"/>
  <c r="K35" i="5"/>
  <c r="K36" i="5" s="1"/>
  <c r="K37" i="5" s="1"/>
  <c r="M28" i="5"/>
  <c r="L29" i="5"/>
  <c r="L30" i="5" s="1"/>
  <c r="L31" i="5" s="1"/>
  <c r="N22" i="5"/>
  <c r="M23" i="5"/>
  <c r="M24" i="5" s="1"/>
  <c r="M25" i="5" s="1"/>
  <c r="H77" i="5"/>
  <c r="H78" i="5" s="1"/>
  <c r="H79" i="5" s="1"/>
  <c r="I76" i="5"/>
  <c r="I10" i="5"/>
  <c r="H11" i="5"/>
  <c r="H12" i="5" s="1"/>
  <c r="H13" i="5" s="1"/>
  <c r="N53" i="5"/>
  <c r="N54" i="5" s="1"/>
  <c r="N55" i="5" s="1"/>
  <c r="O52" i="5"/>
  <c r="L40" i="5"/>
  <c r="K41" i="5"/>
  <c r="K42" i="5" s="1"/>
  <c r="K43" i="5" s="1"/>
  <c r="T4" i="5"/>
  <c r="S5" i="5"/>
  <c r="S6" i="5" s="1"/>
  <c r="S7" i="5" s="1"/>
  <c r="L70" i="5"/>
  <c r="K71" i="5"/>
  <c r="K72" i="5" s="1"/>
  <c r="K73" i="5" s="1"/>
  <c r="H124" i="2"/>
  <c r="G126" i="2"/>
  <c r="G127" i="2" s="1"/>
  <c r="H118" i="2"/>
  <c r="H119" i="2" s="1"/>
  <c r="G120" i="2"/>
  <c r="G121" i="2" s="1"/>
  <c r="I112" i="2"/>
  <c r="H114" i="2"/>
  <c r="H115" i="2" s="1"/>
  <c r="I106" i="2"/>
  <c r="I107" i="2" s="1"/>
  <c r="H108" i="2"/>
  <c r="H109" i="2" s="1"/>
  <c r="I100" i="2"/>
  <c r="I101" i="2" s="1"/>
  <c r="H102" i="2"/>
  <c r="H103" i="2" s="1"/>
  <c r="H94" i="2"/>
  <c r="H95" i="2" s="1"/>
  <c r="G96" i="2"/>
  <c r="G97" i="2" s="1"/>
  <c r="H88" i="2"/>
  <c r="H89" i="2" s="1"/>
  <c r="G90" i="2"/>
  <c r="G91" i="2" s="1"/>
  <c r="H82" i="2"/>
  <c r="H83" i="2" s="1"/>
  <c r="G84" i="2"/>
  <c r="G85" i="2" s="1"/>
  <c r="H76" i="2"/>
  <c r="H77" i="2" s="1"/>
  <c r="G78" i="2"/>
  <c r="G79" i="2" s="1"/>
  <c r="H70" i="2"/>
  <c r="H71" i="2" s="1"/>
  <c r="G72" i="2"/>
  <c r="G73" i="2" s="1"/>
  <c r="H64" i="2"/>
  <c r="H65" i="2" s="1"/>
  <c r="G66" i="2"/>
  <c r="G67" i="2" s="1"/>
  <c r="I58" i="2"/>
  <c r="I59" i="2" s="1"/>
  <c r="H60" i="2"/>
  <c r="H61" i="2" s="1"/>
  <c r="H52" i="2"/>
  <c r="H53" i="2" s="1"/>
  <c r="G54" i="2"/>
  <c r="G55" i="2" s="1"/>
  <c r="H46" i="2"/>
  <c r="H47" i="2" s="1"/>
  <c r="G48" i="2"/>
  <c r="G49" i="2" s="1"/>
  <c r="I40" i="2"/>
  <c r="I41" i="2" s="1"/>
  <c r="H42" i="2"/>
  <c r="H43" i="2" s="1"/>
  <c r="J34" i="2"/>
  <c r="K30" i="2"/>
  <c r="K31" i="2" s="1"/>
  <c r="L28" i="2"/>
  <c r="L29" i="2" s="1"/>
  <c r="I24" i="2"/>
  <c r="I25" i="2" s="1"/>
  <c r="J22" i="2"/>
  <c r="J23" i="2" s="1"/>
  <c r="J16" i="2"/>
  <c r="J17" i="2" s="1"/>
  <c r="I18" i="2"/>
  <c r="I19" i="2" s="1"/>
  <c r="G12" i="2"/>
  <c r="G13" i="2" s="1"/>
  <c r="R40" i="7" l="1"/>
  <c r="Q41" i="7"/>
  <c r="Q42" i="7" s="1"/>
  <c r="Q43" i="7" s="1"/>
  <c r="N70" i="7"/>
  <c r="M71" i="7"/>
  <c r="M72" i="7" s="1"/>
  <c r="M73" i="7" s="1"/>
  <c r="L4" i="7"/>
  <c r="K5" i="7"/>
  <c r="K6" i="7" s="1"/>
  <c r="K7" i="7" s="1"/>
  <c r="O22" i="7"/>
  <c r="N23" i="7"/>
  <c r="N24" i="7" s="1"/>
  <c r="N25" i="7" s="1"/>
  <c r="M58" i="7"/>
  <c r="L59" i="7"/>
  <c r="L60" i="7" s="1"/>
  <c r="L61" i="7" s="1"/>
  <c r="P52" i="7"/>
  <c r="O53" i="7"/>
  <c r="O54" i="7" s="1"/>
  <c r="O55" i="7" s="1"/>
  <c r="O16" i="7"/>
  <c r="N17" i="7"/>
  <c r="N18" i="7" s="1"/>
  <c r="N19" i="7" s="1"/>
  <c r="P29" i="7"/>
  <c r="P30" i="7" s="1"/>
  <c r="P31" i="7" s="1"/>
  <c r="Q28" i="7"/>
  <c r="K95" i="7"/>
  <c r="K96" i="7" s="1"/>
  <c r="K97" i="7" s="1"/>
  <c r="L94" i="7"/>
  <c r="S46" i="7"/>
  <c r="R47" i="7"/>
  <c r="R48" i="7" s="1"/>
  <c r="R49" i="7" s="1"/>
  <c r="L10" i="7"/>
  <c r="K11" i="7"/>
  <c r="K12" i="7" s="1"/>
  <c r="K13" i="7" s="1"/>
  <c r="J35" i="2"/>
  <c r="J36" i="2" s="1"/>
  <c r="J37" i="2" s="1"/>
  <c r="J112" i="2"/>
  <c r="I113" i="2"/>
  <c r="I114" i="2" s="1"/>
  <c r="I115" i="2" s="1"/>
  <c r="L28" i="6"/>
  <c r="K29" i="6"/>
  <c r="K30" i="6" s="1"/>
  <c r="K31" i="6" s="1"/>
  <c r="N88" i="6"/>
  <c r="M89" i="6"/>
  <c r="M90" i="6" s="1"/>
  <c r="M91" i="6" s="1"/>
  <c r="N83" i="6"/>
  <c r="N84" i="6" s="1"/>
  <c r="N85" i="6" s="1"/>
  <c r="O82" i="6"/>
  <c r="L71" i="6"/>
  <c r="L72" i="6" s="1"/>
  <c r="L73" i="6" s="1"/>
  <c r="M70" i="6"/>
  <c r="K52" i="6"/>
  <c r="J53" i="6"/>
  <c r="J54" i="6" s="1"/>
  <c r="J55" i="6" s="1"/>
  <c r="L76" i="6"/>
  <c r="K77" i="6"/>
  <c r="K78" i="6" s="1"/>
  <c r="K79" i="6" s="1"/>
  <c r="L4" i="6"/>
  <c r="K5" i="6"/>
  <c r="K6" i="6" s="1"/>
  <c r="K7" i="6" s="1"/>
  <c r="N22" i="6"/>
  <c r="M23" i="6"/>
  <c r="M24" i="6" s="1"/>
  <c r="M25" i="6" s="1"/>
  <c r="N16" i="6"/>
  <c r="M17" i="6"/>
  <c r="M18" i="6" s="1"/>
  <c r="M19" i="6" s="1"/>
  <c r="T40" i="6"/>
  <c r="S41" i="6"/>
  <c r="S42" i="6" s="1"/>
  <c r="S43" i="6" s="1"/>
  <c r="R10" i="6"/>
  <c r="Q11" i="6"/>
  <c r="Q12" i="6" s="1"/>
  <c r="Q13" i="6" s="1"/>
  <c r="P34" i="6"/>
  <c r="O35" i="6"/>
  <c r="O36" i="6" s="1"/>
  <c r="O37" i="6" s="1"/>
  <c r="T46" i="6"/>
  <c r="S47" i="6"/>
  <c r="S48" i="6" s="1"/>
  <c r="S49" i="6" s="1"/>
  <c r="M70" i="5"/>
  <c r="L71" i="5"/>
  <c r="L72" i="5" s="1"/>
  <c r="L73" i="5" s="1"/>
  <c r="J10" i="5"/>
  <c r="I11" i="5"/>
  <c r="I12" i="5" s="1"/>
  <c r="I13" i="5" s="1"/>
  <c r="L35" i="5"/>
  <c r="L36" i="5" s="1"/>
  <c r="L37" i="5" s="1"/>
  <c r="M34" i="5"/>
  <c r="T46" i="5"/>
  <c r="S47" i="5"/>
  <c r="S48" i="5" s="1"/>
  <c r="S49" i="5" s="1"/>
  <c r="J76" i="5"/>
  <c r="I77" i="5"/>
  <c r="I78" i="5" s="1"/>
  <c r="I79" i="5" s="1"/>
  <c r="U4" i="5"/>
  <c r="T5" i="5"/>
  <c r="T6" i="5" s="1"/>
  <c r="T7" i="5" s="1"/>
  <c r="L94" i="5"/>
  <c r="K95" i="5"/>
  <c r="K96" i="5" s="1"/>
  <c r="K97" i="5" s="1"/>
  <c r="M40" i="5"/>
  <c r="L41" i="5"/>
  <c r="L42" i="5" s="1"/>
  <c r="L43" i="5" s="1"/>
  <c r="O22" i="5"/>
  <c r="N23" i="5"/>
  <c r="N24" i="5" s="1"/>
  <c r="N25" i="5" s="1"/>
  <c r="M16" i="5"/>
  <c r="L17" i="5"/>
  <c r="L18" i="5" s="1"/>
  <c r="L19" i="5" s="1"/>
  <c r="P52" i="5"/>
  <c r="O53" i="5"/>
  <c r="O54" i="5" s="1"/>
  <c r="O55" i="5" s="1"/>
  <c r="N28" i="5"/>
  <c r="M29" i="5"/>
  <c r="M30" i="5" s="1"/>
  <c r="M31" i="5" s="1"/>
  <c r="N64" i="5"/>
  <c r="M65" i="5"/>
  <c r="M66" i="5" s="1"/>
  <c r="M67" i="5" s="1"/>
  <c r="K34" i="2"/>
  <c r="I118" i="2"/>
  <c r="H120" i="2"/>
  <c r="H121" i="2" s="1"/>
  <c r="I108" i="2"/>
  <c r="I109" i="2" s="1"/>
  <c r="J106" i="2"/>
  <c r="I102" i="2"/>
  <c r="I103" i="2" s="1"/>
  <c r="J100" i="2"/>
  <c r="J101" i="2" s="1"/>
  <c r="H96" i="2"/>
  <c r="H97" i="2" s="1"/>
  <c r="I94" i="2"/>
  <c r="I95" i="2" s="1"/>
  <c r="I88" i="2"/>
  <c r="I89" i="2" s="1"/>
  <c r="H90" i="2"/>
  <c r="H91" i="2" s="1"/>
  <c r="I82" i="2"/>
  <c r="I83" i="2" s="1"/>
  <c r="H84" i="2"/>
  <c r="H85" i="2" s="1"/>
  <c r="I76" i="2"/>
  <c r="I77" i="2" s="1"/>
  <c r="H78" i="2"/>
  <c r="H79" i="2" s="1"/>
  <c r="I70" i="2"/>
  <c r="I71" i="2" s="1"/>
  <c r="H72" i="2"/>
  <c r="H73" i="2" s="1"/>
  <c r="I64" i="2"/>
  <c r="I65" i="2" s="1"/>
  <c r="H66" i="2"/>
  <c r="H67" i="2" s="1"/>
  <c r="I60" i="2"/>
  <c r="I61" i="2" s="1"/>
  <c r="J58" i="2"/>
  <c r="J59" i="2" s="1"/>
  <c r="I52" i="2"/>
  <c r="I53" i="2" s="1"/>
  <c r="H54" i="2"/>
  <c r="H55" i="2" s="1"/>
  <c r="I46" i="2"/>
  <c r="I47" i="2" s="1"/>
  <c r="H48" i="2"/>
  <c r="H49" i="2" s="1"/>
  <c r="J40" i="2"/>
  <c r="J41" i="2" s="1"/>
  <c r="I42" i="2"/>
  <c r="I43" i="2" s="1"/>
  <c r="L30" i="2"/>
  <c r="L31" i="2" s="1"/>
  <c r="M28" i="2"/>
  <c r="M29" i="2" s="1"/>
  <c r="K22" i="2"/>
  <c r="K23" i="2" s="1"/>
  <c r="J24" i="2"/>
  <c r="J25" i="2" s="1"/>
  <c r="J18" i="2"/>
  <c r="J19" i="2" s="1"/>
  <c r="K16" i="2"/>
  <c r="K17" i="2" s="1"/>
  <c r="H12" i="2"/>
  <c r="H13" i="2" s="1"/>
  <c r="R28" i="7" l="1"/>
  <c r="Q29" i="7"/>
  <c r="Q30" i="7" s="1"/>
  <c r="Q31" i="7" s="1"/>
  <c r="M10" i="7"/>
  <c r="L11" i="7"/>
  <c r="L12" i="7" s="1"/>
  <c r="L13" i="7" s="1"/>
  <c r="P16" i="7"/>
  <c r="O17" i="7"/>
  <c r="O18" i="7" s="1"/>
  <c r="O19" i="7" s="1"/>
  <c r="M4" i="7"/>
  <c r="L5" i="7"/>
  <c r="L6" i="7" s="1"/>
  <c r="L7" i="7" s="1"/>
  <c r="P22" i="7"/>
  <c r="O23" i="7"/>
  <c r="O24" i="7" s="1"/>
  <c r="O25" i="7" s="1"/>
  <c r="T46" i="7"/>
  <c r="S47" i="7"/>
  <c r="S48" i="7" s="1"/>
  <c r="S49" i="7" s="1"/>
  <c r="P53" i="7"/>
  <c r="P54" i="7" s="1"/>
  <c r="P55" i="7" s="1"/>
  <c r="Q52" i="7"/>
  <c r="O70" i="7"/>
  <c r="N71" i="7"/>
  <c r="N72" i="7" s="1"/>
  <c r="N73" i="7" s="1"/>
  <c r="M94" i="7"/>
  <c r="L95" i="7"/>
  <c r="L96" i="7" s="1"/>
  <c r="L97" i="7" s="1"/>
  <c r="M59" i="7"/>
  <c r="M60" i="7" s="1"/>
  <c r="M61" i="7" s="1"/>
  <c r="N58" i="7"/>
  <c r="S40" i="7"/>
  <c r="R41" i="7"/>
  <c r="R42" i="7" s="1"/>
  <c r="R43" i="7" s="1"/>
  <c r="K106" i="2"/>
  <c r="J107" i="2"/>
  <c r="J108" i="2" s="1"/>
  <c r="J109" i="2" s="1"/>
  <c r="L34" i="2"/>
  <c r="L35" i="2" s="1"/>
  <c r="K35" i="2"/>
  <c r="K36" i="2" s="1"/>
  <c r="K37" i="2" s="1"/>
  <c r="S10" i="6"/>
  <c r="R11" i="6"/>
  <c r="R12" i="6" s="1"/>
  <c r="R13" i="6" s="1"/>
  <c r="O22" i="6"/>
  <c r="N23" i="6"/>
  <c r="N24" i="6" s="1"/>
  <c r="N25" i="6" s="1"/>
  <c r="U40" i="6"/>
  <c r="T41" i="6"/>
  <c r="T42" i="6" s="1"/>
  <c r="T43" i="6" s="1"/>
  <c r="M76" i="6"/>
  <c r="L77" i="6"/>
  <c r="L78" i="6" s="1"/>
  <c r="L79" i="6" s="1"/>
  <c r="N70" i="6"/>
  <c r="M71" i="6"/>
  <c r="M72" i="6" s="1"/>
  <c r="M73" i="6" s="1"/>
  <c r="L5" i="6"/>
  <c r="L6" i="6" s="1"/>
  <c r="L7" i="6" s="1"/>
  <c r="M4" i="6"/>
  <c r="Q34" i="6"/>
  <c r="P35" i="6"/>
  <c r="P36" i="6" s="1"/>
  <c r="P37" i="6" s="1"/>
  <c r="U46" i="6"/>
  <c r="T47" i="6"/>
  <c r="T48" i="6" s="1"/>
  <c r="T49" i="6" s="1"/>
  <c r="O16" i="6"/>
  <c r="N17" i="6"/>
  <c r="N18" i="6" s="1"/>
  <c r="N19" i="6" s="1"/>
  <c r="L52" i="6"/>
  <c r="K53" i="6"/>
  <c r="K54" i="6" s="1"/>
  <c r="K55" i="6" s="1"/>
  <c r="L29" i="6"/>
  <c r="L30" i="6" s="1"/>
  <c r="L31" i="6" s="1"/>
  <c r="M28" i="6"/>
  <c r="P22" i="5"/>
  <c r="O23" i="5"/>
  <c r="O24" i="5" s="1"/>
  <c r="O25" i="5" s="1"/>
  <c r="N70" i="5"/>
  <c r="M71" i="5"/>
  <c r="M72" i="5" s="1"/>
  <c r="M73" i="5" s="1"/>
  <c r="O28" i="5"/>
  <c r="N29" i="5"/>
  <c r="N30" i="5" s="1"/>
  <c r="N31" i="5" s="1"/>
  <c r="N40" i="5"/>
  <c r="M41" i="5"/>
  <c r="M42" i="5" s="1"/>
  <c r="M43" i="5" s="1"/>
  <c r="U46" i="5"/>
  <c r="T47" i="5"/>
  <c r="T48" i="5" s="1"/>
  <c r="T49" i="5" s="1"/>
  <c r="M35" i="5"/>
  <c r="M36" i="5" s="1"/>
  <c r="M37" i="5" s="1"/>
  <c r="N34" i="5"/>
  <c r="O64" i="5"/>
  <c r="N65" i="5"/>
  <c r="N66" i="5" s="1"/>
  <c r="N67" i="5" s="1"/>
  <c r="K76" i="5"/>
  <c r="J77" i="5"/>
  <c r="J78" i="5" s="1"/>
  <c r="J79" i="5" s="1"/>
  <c r="Q52" i="5"/>
  <c r="P53" i="5"/>
  <c r="P54" i="5" s="1"/>
  <c r="P55" i="5" s="1"/>
  <c r="M94" i="5"/>
  <c r="L95" i="5"/>
  <c r="L96" i="5" s="1"/>
  <c r="L97" i="5" s="1"/>
  <c r="N16" i="5"/>
  <c r="M17" i="5"/>
  <c r="M18" i="5" s="1"/>
  <c r="M19" i="5" s="1"/>
  <c r="V4" i="5"/>
  <c r="U5" i="5"/>
  <c r="U6" i="5" s="1"/>
  <c r="U7" i="5" s="1"/>
  <c r="K10" i="5"/>
  <c r="J11" i="5"/>
  <c r="J12" i="5" s="1"/>
  <c r="J13" i="5" s="1"/>
  <c r="J102" i="2"/>
  <c r="J103" i="2" s="1"/>
  <c r="K100" i="2"/>
  <c r="I96" i="2"/>
  <c r="I97" i="2" s="1"/>
  <c r="J94" i="2"/>
  <c r="J95" i="2" s="1"/>
  <c r="I90" i="2"/>
  <c r="I91" i="2" s="1"/>
  <c r="J88" i="2"/>
  <c r="J89" i="2" s="1"/>
  <c r="I84" i="2"/>
  <c r="I85" i="2" s="1"/>
  <c r="J82" i="2"/>
  <c r="J83" i="2" s="1"/>
  <c r="J76" i="2"/>
  <c r="J77" i="2" s="1"/>
  <c r="I78" i="2"/>
  <c r="I79" i="2" s="1"/>
  <c r="J70" i="2"/>
  <c r="J71" i="2" s="1"/>
  <c r="I72" i="2"/>
  <c r="I73" i="2" s="1"/>
  <c r="J64" i="2"/>
  <c r="J65" i="2" s="1"/>
  <c r="I66" i="2"/>
  <c r="I67" i="2" s="1"/>
  <c r="J60" i="2"/>
  <c r="J61" i="2" s="1"/>
  <c r="K58" i="2"/>
  <c r="K59" i="2" s="1"/>
  <c r="I54" i="2"/>
  <c r="I55" i="2" s="1"/>
  <c r="J52" i="2"/>
  <c r="J53" i="2" s="1"/>
  <c r="J46" i="2"/>
  <c r="J47" i="2" s="1"/>
  <c r="I48" i="2"/>
  <c r="I49" i="2" s="1"/>
  <c r="K40" i="2"/>
  <c r="K41" i="2" s="1"/>
  <c r="J42" i="2"/>
  <c r="J43" i="2" s="1"/>
  <c r="M34" i="2"/>
  <c r="M35" i="2" s="1"/>
  <c r="L36" i="2"/>
  <c r="L37" i="2" s="1"/>
  <c r="N28" i="2"/>
  <c r="N29" i="2" s="1"/>
  <c r="M30" i="2"/>
  <c r="M31" i="2" s="1"/>
  <c r="L22" i="2"/>
  <c r="L23" i="2" s="1"/>
  <c r="K24" i="2"/>
  <c r="K25" i="2" s="1"/>
  <c r="K18" i="2"/>
  <c r="K19" i="2" s="1"/>
  <c r="L16" i="2"/>
  <c r="L17" i="2" s="1"/>
  <c r="I12" i="2"/>
  <c r="I13" i="2" s="1"/>
  <c r="P17" i="7" l="1"/>
  <c r="P18" i="7" s="1"/>
  <c r="P19" i="7" s="1"/>
  <c r="Q16" i="7"/>
  <c r="P70" i="7"/>
  <c r="O71" i="7"/>
  <c r="O72" i="7" s="1"/>
  <c r="O73" i="7" s="1"/>
  <c r="R52" i="7"/>
  <c r="Q53" i="7"/>
  <c r="Q54" i="7" s="1"/>
  <c r="Q55" i="7" s="1"/>
  <c r="U46" i="7"/>
  <c r="T47" i="7"/>
  <c r="T48" i="7" s="1"/>
  <c r="T49" i="7" s="1"/>
  <c r="N10" i="7"/>
  <c r="M11" i="7"/>
  <c r="M12" i="7" s="1"/>
  <c r="M13" i="7" s="1"/>
  <c r="N4" i="7"/>
  <c r="M5" i="7"/>
  <c r="M6" i="7" s="1"/>
  <c r="M7" i="7" s="1"/>
  <c r="T40" i="7"/>
  <c r="S41" i="7"/>
  <c r="S42" i="7" s="1"/>
  <c r="S43" i="7" s="1"/>
  <c r="O58" i="7"/>
  <c r="N59" i="7"/>
  <c r="N60" i="7" s="1"/>
  <c r="N61" i="7" s="1"/>
  <c r="Q22" i="7"/>
  <c r="P23" i="7"/>
  <c r="P24" i="7" s="1"/>
  <c r="P25" i="7" s="1"/>
  <c r="S28" i="7"/>
  <c r="R29" i="7"/>
  <c r="R30" i="7" s="1"/>
  <c r="R31" i="7" s="1"/>
  <c r="L100" i="2"/>
  <c r="K101" i="2"/>
  <c r="K102" i="2" s="1"/>
  <c r="K103" i="2" s="1"/>
  <c r="R34" i="6"/>
  <c r="Q35" i="6"/>
  <c r="Q36" i="6" s="1"/>
  <c r="Q37" i="6" s="1"/>
  <c r="V40" i="6"/>
  <c r="U41" i="6"/>
  <c r="U42" i="6" s="1"/>
  <c r="U43" i="6" s="1"/>
  <c r="N28" i="6"/>
  <c r="M29" i="6"/>
  <c r="M30" i="6" s="1"/>
  <c r="M31" i="6" s="1"/>
  <c r="P22" i="6"/>
  <c r="O23" i="6"/>
  <c r="O24" i="6" s="1"/>
  <c r="O25" i="6" s="1"/>
  <c r="N76" i="6"/>
  <c r="M77" i="6"/>
  <c r="M78" i="6" s="1"/>
  <c r="M79" i="6" s="1"/>
  <c r="N4" i="6"/>
  <c r="M5" i="6"/>
  <c r="M6" i="6" s="1"/>
  <c r="M7" i="6" s="1"/>
  <c r="L53" i="6"/>
  <c r="L54" i="6" s="1"/>
  <c r="L55" i="6" s="1"/>
  <c r="M52" i="6"/>
  <c r="P16" i="6"/>
  <c r="O17" i="6"/>
  <c r="O18" i="6" s="1"/>
  <c r="O19" i="6" s="1"/>
  <c r="O70" i="6"/>
  <c r="N71" i="6"/>
  <c r="N72" i="6" s="1"/>
  <c r="N73" i="6" s="1"/>
  <c r="T10" i="6"/>
  <c r="S11" i="6"/>
  <c r="S12" i="6" s="1"/>
  <c r="S13" i="6" s="1"/>
  <c r="Q53" i="5"/>
  <c r="Q54" i="5" s="1"/>
  <c r="Q55" i="5" s="1"/>
  <c r="R52" i="5"/>
  <c r="W4" i="5"/>
  <c r="V5" i="5"/>
  <c r="V6" i="5" s="1"/>
  <c r="V7" i="5" s="1"/>
  <c r="L76" i="5"/>
  <c r="K77" i="5"/>
  <c r="K78" i="5" s="1"/>
  <c r="K79" i="5" s="1"/>
  <c r="O40" i="5"/>
  <c r="N41" i="5"/>
  <c r="N42" i="5" s="1"/>
  <c r="N43" i="5" s="1"/>
  <c r="K11" i="5"/>
  <c r="K12" i="5" s="1"/>
  <c r="K13" i="5" s="1"/>
  <c r="L10" i="5"/>
  <c r="Q22" i="5"/>
  <c r="P23" i="5"/>
  <c r="P24" i="5" s="1"/>
  <c r="P25" i="5" s="1"/>
  <c r="O16" i="5"/>
  <c r="N17" i="5"/>
  <c r="N18" i="5" s="1"/>
  <c r="N19" i="5" s="1"/>
  <c r="P64" i="5"/>
  <c r="O65" i="5"/>
  <c r="O66" i="5" s="1"/>
  <c r="O67" i="5" s="1"/>
  <c r="P28" i="5"/>
  <c r="O29" i="5"/>
  <c r="O30" i="5" s="1"/>
  <c r="O31" i="5" s="1"/>
  <c r="O34" i="5"/>
  <c r="N35" i="5"/>
  <c r="N36" i="5" s="1"/>
  <c r="N37" i="5" s="1"/>
  <c r="O70" i="5"/>
  <c r="N71" i="5"/>
  <c r="N72" i="5" s="1"/>
  <c r="N73" i="5" s="1"/>
  <c r="J96" i="2"/>
  <c r="J97" i="2" s="1"/>
  <c r="K94" i="2"/>
  <c r="K95" i="2" s="1"/>
  <c r="K88" i="2"/>
  <c r="K89" i="2" s="1"/>
  <c r="J90" i="2"/>
  <c r="J91" i="2" s="1"/>
  <c r="K82" i="2"/>
  <c r="K83" i="2" s="1"/>
  <c r="J84" i="2"/>
  <c r="J85" i="2" s="1"/>
  <c r="J78" i="2"/>
  <c r="J79" i="2" s="1"/>
  <c r="K76" i="2"/>
  <c r="K77" i="2" s="1"/>
  <c r="J72" i="2"/>
  <c r="J73" i="2" s="1"/>
  <c r="K70" i="2"/>
  <c r="K71" i="2" s="1"/>
  <c r="J66" i="2"/>
  <c r="J67" i="2" s="1"/>
  <c r="K64" i="2"/>
  <c r="K65" i="2" s="1"/>
  <c r="K60" i="2"/>
  <c r="K61" i="2" s="1"/>
  <c r="L58" i="2"/>
  <c r="L59" i="2" s="1"/>
  <c r="J54" i="2"/>
  <c r="J55" i="2" s="1"/>
  <c r="K52" i="2"/>
  <c r="K53" i="2" s="1"/>
  <c r="J48" i="2"/>
  <c r="J49" i="2" s="1"/>
  <c r="K46" i="2"/>
  <c r="K47" i="2" s="1"/>
  <c r="K42" i="2"/>
  <c r="K43" i="2" s="1"/>
  <c r="L40" i="2"/>
  <c r="L41" i="2" s="1"/>
  <c r="N34" i="2"/>
  <c r="N35" i="2" s="1"/>
  <c r="M36" i="2"/>
  <c r="M37" i="2" s="1"/>
  <c r="O28" i="2"/>
  <c r="O29" i="2" s="1"/>
  <c r="N30" i="2"/>
  <c r="N31" i="2" s="1"/>
  <c r="M22" i="2"/>
  <c r="M23" i="2" s="1"/>
  <c r="L24" i="2"/>
  <c r="L25" i="2" s="1"/>
  <c r="L18" i="2"/>
  <c r="L19" i="2" s="1"/>
  <c r="M16" i="2"/>
  <c r="M17" i="2" s="1"/>
  <c r="J12" i="2"/>
  <c r="J13" i="2" s="1"/>
  <c r="S52" i="7" l="1"/>
  <c r="R53" i="7"/>
  <c r="R54" i="7" s="1"/>
  <c r="R55" i="7" s="1"/>
  <c r="P58" i="7"/>
  <c r="O59" i="7"/>
  <c r="O60" i="7" s="1"/>
  <c r="O61" i="7" s="1"/>
  <c r="U40" i="7"/>
  <c r="T41" i="7"/>
  <c r="T42" i="7" s="1"/>
  <c r="T43" i="7" s="1"/>
  <c r="T28" i="7"/>
  <c r="S29" i="7"/>
  <c r="S30" i="7" s="1"/>
  <c r="S31" i="7" s="1"/>
  <c r="N5" i="7"/>
  <c r="N6" i="7" s="1"/>
  <c r="N7" i="7" s="1"/>
  <c r="O4" i="7"/>
  <c r="P71" i="7"/>
  <c r="P72" i="7" s="1"/>
  <c r="P73" i="7" s="1"/>
  <c r="Q70" i="7"/>
  <c r="R16" i="7"/>
  <c r="Q17" i="7"/>
  <c r="Q18" i="7" s="1"/>
  <c r="Q19" i="7" s="1"/>
  <c r="R22" i="7"/>
  <c r="Q23" i="7"/>
  <c r="Q24" i="7" s="1"/>
  <c r="Q25" i="7" s="1"/>
  <c r="O10" i="7"/>
  <c r="N11" i="7"/>
  <c r="N12" i="7" s="1"/>
  <c r="N13" i="7" s="1"/>
  <c r="M53" i="6"/>
  <c r="M54" i="6" s="1"/>
  <c r="M55" i="6" s="1"/>
  <c r="N52" i="6"/>
  <c r="P17" i="6"/>
  <c r="P18" i="6" s="1"/>
  <c r="P19" i="6" s="1"/>
  <c r="Q16" i="6"/>
  <c r="O28" i="6"/>
  <c r="N29" i="6"/>
  <c r="N30" i="6" s="1"/>
  <c r="N31" i="6" s="1"/>
  <c r="O4" i="6"/>
  <c r="N5" i="6"/>
  <c r="N6" i="6" s="1"/>
  <c r="N7" i="6" s="1"/>
  <c r="P23" i="6"/>
  <c r="P24" i="6" s="1"/>
  <c r="P25" i="6" s="1"/>
  <c r="Q22" i="6"/>
  <c r="U10" i="6"/>
  <c r="T11" i="6"/>
  <c r="T12" i="6" s="1"/>
  <c r="T13" i="6" s="1"/>
  <c r="P70" i="6"/>
  <c r="O71" i="6"/>
  <c r="O72" i="6" s="1"/>
  <c r="O73" i="6" s="1"/>
  <c r="O76" i="6"/>
  <c r="N77" i="6"/>
  <c r="N78" i="6" s="1"/>
  <c r="N79" i="6" s="1"/>
  <c r="S34" i="6"/>
  <c r="R35" i="6"/>
  <c r="R36" i="6" s="1"/>
  <c r="R37" i="6" s="1"/>
  <c r="Q64" i="5"/>
  <c r="P65" i="5"/>
  <c r="P66" i="5" s="1"/>
  <c r="P67" i="5" s="1"/>
  <c r="P40" i="5"/>
  <c r="O41" i="5"/>
  <c r="O42" i="5" s="1"/>
  <c r="O43" i="5" s="1"/>
  <c r="Q28" i="5"/>
  <c r="P29" i="5"/>
  <c r="P30" i="5" s="1"/>
  <c r="P31" i="5" s="1"/>
  <c r="P70" i="5"/>
  <c r="O71" i="5"/>
  <c r="O72" i="5" s="1"/>
  <c r="O73" i="5" s="1"/>
  <c r="P16" i="5"/>
  <c r="O17" i="5"/>
  <c r="O18" i="5" s="1"/>
  <c r="O19" i="5" s="1"/>
  <c r="M76" i="5"/>
  <c r="L77" i="5"/>
  <c r="L78" i="5" s="1"/>
  <c r="L79" i="5" s="1"/>
  <c r="P34" i="5"/>
  <c r="O35" i="5"/>
  <c r="O36" i="5" s="1"/>
  <c r="O37" i="5" s="1"/>
  <c r="R22" i="5"/>
  <c r="Q23" i="5"/>
  <c r="Q24" i="5" s="1"/>
  <c r="Q25" i="5" s="1"/>
  <c r="W5" i="5"/>
  <c r="W6" i="5" s="1"/>
  <c r="W7" i="5" s="1"/>
  <c r="X4" i="5"/>
  <c r="M10" i="5"/>
  <c r="L11" i="5"/>
  <c r="L12" i="5" s="1"/>
  <c r="L13" i="5" s="1"/>
  <c r="S52" i="5"/>
  <c r="R53" i="5"/>
  <c r="R54" i="5" s="1"/>
  <c r="R55" i="5" s="1"/>
  <c r="K96" i="2"/>
  <c r="K97" i="2" s="1"/>
  <c r="L94" i="2"/>
  <c r="K90" i="2"/>
  <c r="K91" i="2" s="1"/>
  <c r="L88" i="2"/>
  <c r="L89" i="2" s="1"/>
  <c r="L82" i="2"/>
  <c r="L83" i="2" s="1"/>
  <c r="K84" i="2"/>
  <c r="K85" i="2" s="1"/>
  <c r="K78" i="2"/>
  <c r="K79" i="2" s="1"/>
  <c r="L76" i="2"/>
  <c r="L77" i="2" s="1"/>
  <c r="L70" i="2"/>
  <c r="L71" i="2" s="1"/>
  <c r="K72" i="2"/>
  <c r="K73" i="2" s="1"/>
  <c r="K66" i="2"/>
  <c r="K67" i="2" s="1"/>
  <c r="L64" i="2"/>
  <c r="L65" i="2" s="1"/>
  <c r="M58" i="2"/>
  <c r="M59" i="2" s="1"/>
  <c r="L60" i="2"/>
  <c r="L61" i="2" s="1"/>
  <c r="L52" i="2"/>
  <c r="L53" i="2" s="1"/>
  <c r="K54" i="2"/>
  <c r="K55" i="2" s="1"/>
  <c r="L46" i="2"/>
  <c r="L47" i="2" s="1"/>
  <c r="K48" i="2"/>
  <c r="K49" i="2" s="1"/>
  <c r="L42" i="2"/>
  <c r="L43" i="2" s="1"/>
  <c r="M40" i="2"/>
  <c r="M41" i="2" s="1"/>
  <c r="N36" i="2"/>
  <c r="N37" i="2" s="1"/>
  <c r="O34" i="2"/>
  <c r="O35" i="2" s="1"/>
  <c r="P28" i="2"/>
  <c r="P29" i="2" s="1"/>
  <c r="O30" i="2"/>
  <c r="O31" i="2" s="1"/>
  <c r="M24" i="2"/>
  <c r="M25" i="2" s="1"/>
  <c r="N22" i="2"/>
  <c r="N23" i="2" s="1"/>
  <c r="N16" i="2"/>
  <c r="N17" i="2" s="1"/>
  <c r="M18" i="2"/>
  <c r="M19" i="2" s="1"/>
  <c r="K12" i="2"/>
  <c r="K13" i="2" s="1"/>
  <c r="S22" i="7" l="1"/>
  <c r="R23" i="7"/>
  <c r="R24" i="7" s="1"/>
  <c r="R25" i="7" s="1"/>
  <c r="V40" i="7"/>
  <c r="U41" i="7"/>
  <c r="U42" i="7" s="1"/>
  <c r="U43" i="7" s="1"/>
  <c r="U28" i="7"/>
  <c r="T29" i="7"/>
  <c r="T30" i="7" s="1"/>
  <c r="T31" i="7" s="1"/>
  <c r="P59" i="7"/>
  <c r="P60" i="7" s="1"/>
  <c r="P61" i="7" s="1"/>
  <c r="Q58" i="7"/>
  <c r="S16" i="7"/>
  <c r="R17" i="7"/>
  <c r="R18" i="7" s="1"/>
  <c r="R19" i="7" s="1"/>
  <c r="O5" i="7"/>
  <c r="O6" i="7" s="1"/>
  <c r="O7" i="7" s="1"/>
  <c r="P4" i="7"/>
  <c r="P10" i="7"/>
  <c r="O11" i="7"/>
  <c r="O12" i="7" s="1"/>
  <c r="O13" i="7" s="1"/>
  <c r="S53" i="7"/>
  <c r="S54" i="7" s="1"/>
  <c r="S55" i="7" s="1"/>
  <c r="T52" i="7"/>
  <c r="M94" i="2"/>
  <c r="L95" i="2"/>
  <c r="L96" i="2" s="1"/>
  <c r="L97" i="2" s="1"/>
  <c r="P76" i="6"/>
  <c r="O77" i="6"/>
  <c r="O78" i="6" s="1"/>
  <c r="O79" i="6" s="1"/>
  <c r="P4" i="6"/>
  <c r="O5" i="6"/>
  <c r="O6" i="6" s="1"/>
  <c r="O7" i="6" s="1"/>
  <c r="P28" i="6"/>
  <c r="O29" i="6"/>
  <c r="O30" i="6" s="1"/>
  <c r="O31" i="6" s="1"/>
  <c r="R16" i="6"/>
  <c r="Q17" i="6"/>
  <c r="Q18" i="6" s="1"/>
  <c r="Q19" i="6" s="1"/>
  <c r="Q70" i="6"/>
  <c r="P71" i="6"/>
  <c r="P72" i="6" s="1"/>
  <c r="P73" i="6" s="1"/>
  <c r="V10" i="6"/>
  <c r="U11" i="6"/>
  <c r="U12" i="6" s="1"/>
  <c r="U13" i="6" s="1"/>
  <c r="R22" i="6"/>
  <c r="Q23" i="6"/>
  <c r="Q24" i="6" s="1"/>
  <c r="Q25" i="6" s="1"/>
  <c r="O52" i="6"/>
  <c r="N53" i="6"/>
  <c r="N54" i="6" s="1"/>
  <c r="N55" i="6" s="1"/>
  <c r="T34" i="6"/>
  <c r="S35" i="6"/>
  <c r="S36" i="6" s="1"/>
  <c r="S37" i="6" s="1"/>
  <c r="S22" i="5"/>
  <c r="R23" i="5"/>
  <c r="R24" i="5" s="1"/>
  <c r="R25" i="5" s="1"/>
  <c r="Q70" i="5"/>
  <c r="P71" i="5"/>
  <c r="P72" i="5" s="1"/>
  <c r="P73" i="5" s="1"/>
  <c r="T52" i="5"/>
  <c r="S53" i="5"/>
  <c r="S54" i="5" s="1"/>
  <c r="S55" i="5" s="1"/>
  <c r="Q34" i="5"/>
  <c r="P35" i="5"/>
  <c r="P36" i="5" s="1"/>
  <c r="P37" i="5" s="1"/>
  <c r="R28" i="5"/>
  <c r="Q29" i="5"/>
  <c r="Q30" i="5" s="1"/>
  <c r="Q31" i="5" s="1"/>
  <c r="N10" i="5"/>
  <c r="M11" i="5"/>
  <c r="M12" i="5" s="1"/>
  <c r="M13" i="5" s="1"/>
  <c r="N76" i="5"/>
  <c r="M77" i="5"/>
  <c r="M78" i="5" s="1"/>
  <c r="M79" i="5" s="1"/>
  <c r="Q40" i="5"/>
  <c r="P41" i="5"/>
  <c r="P42" i="5" s="1"/>
  <c r="P43" i="5" s="1"/>
  <c r="Q16" i="5"/>
  <c r="P17" i="5"/>
  <c r="P18" i="5" s="1"/>
  <c r="P19" i="5" s="1"/>
  <c r="R64" i="5"/>
  <c r="R65" i="5" s="1"/>
  <c r="Q65" i="5"/>
  <c r="Q66" i="5" s="1"/>
  <c r="Q67" i="5" s="1"/>
  <c r="Y4" i="5"/>
  <c r="X5" i="5"/>
  <c r="X6" i="5" s="1"/>
  <c r="X7" i="5" s="1"/>
  <c r="L90" i="2"/>
  <c r="L91" i="2" s="1"/>
  <c r="M88" i="2"/>
  <c r="L84" i="2"/>
  <c r="L85" i="2" s="1"/>
  <c r="M82" i="2"/>
  <c r="M83" i="2" s="1"/>
  <c r="L78" i="2"/>
  <c r="L79" i="2" s="1"/>
  <c r="M76" i="2"/>
  <c r="M77" i="2" s="1"/>
  <c r="L72" i="2"/>
  <c r="L73" i="2" s="1"/>
  <c r="M70" i="2"/>
  <c r="M71" i="2" s="1"/>
  <c r="L66" i="2"/>
  <c r="L67" i="2" s="1"/>
  <c r="M64" i="2"/>
  <c r="M65" i="2" s="1"/>
  <c r="M60" i="2"/>
  <c r="M61" i="2" s="1"/>
  <c r="N58" i="2"/>
  <c r="N59" i="2" s="1"/>
  <c r="L54" i="2"/>
  <c r="L55" i="2" s="1"/>
  <c r="M52" i="2"/>
  <c r="M53" i="2" s="1"/>
  <c r="L48" i="2"/>
  <c r="L49" i="2" s="1"/>
  <c r="M46" i="2"/>
  <c r="M47" i="2" s="1"/>
  <c r="M42" i="2"/>
  <c r="M43" i="2" s="1"/>
  <c r="N40" i="2"/>
  <c r="N41" i="2" s="1"/>
  <c r="O36" i="2"/>
  <c r="O37" i="2" s="1"/>
  <c r="P34" i="2"/>
  <c r="P35" i="2" s="1"/>
  <c r="Q28" i="2"/>
  <c r="Q29" i="2" s="1"/>
  <c r="P30" i="2"/>
  <c r="P31" i="2" s="1"/>
  <c r="N24" i="2"/>
  <c r="N25" i="2" s="1"/>
  <c r="O22" i="2"/>
  <c r="O23" i="2" s="1"/>
  <c r="O16" i="2"/>
  <c r="O17" i="2" s="1"/>
  <c r="N18" i="2"/>
  <c r="N19" i="2" s="1"/>
  <c r="L12" i="2"/>
  <c r="L13" i="2" s="1"/>
  <c r="R58" i="7" l="1"/>
  <c r="Q59" i="7"/>
  <c r="Q60" i="7" s="1"/>
  <c r="Q61" i="7" s="1"/>
  <c r="V28" i="7"/>
  <c r="U29" i="7"/>
  <c r="U30" i="7" s="1"/>
  <c r="U31" i="7" s="1"/>
  <c r="Q4" i="7"/>
  <c r="P5" i="7"/>
  <c r="P6" i="7" s="1"/>
  <c r="P7" i="7" s="1"/>
  <c r="Q10" i="7"/>
  <c r="P11" i="7"/>
  <c r="P12" i="7" s="1"/>
  <c r="P13" i="7" s="1"/>
  <c r="T16" i="7"/>
  <c r="S17" i="7"/>
  <c r="S18" i="7" s="1"/>
  <c r="S19" i="7" s="1"/>
  <c r="T22" i="7"/>
  <c r="S23" i="7"/>
  <c r="S24" i="7" s="1"/>
  <c r="S25" i="7" s="1"/>
  <c r="N88" i="2"/>
  <c r="M89" i="2"/>
  <c r="O53" i="6"/>
  <c r="O54" i="6" s="1"/>
  <c r="O55" i="6" s="1"/>
  <c r="P52" i="6"/>
  <c r="R17" i="6"/>
  <c r="R18" i="6" s="1"/>
  <c r="R19" i="6" s="1"/>
  <c r="S16" i="6"/>
  <c r="R23" i="6"/>
  <c r="R24" i="6" s="1"/>
  <c r="R25" i="6" s="1"/>
  <c r="S22" i="6"/>
  <c r="P5" i="6"/>
  <c r="P6" i="6" s="1"/>
  <c r="P7" i="6" s="1"/>
  <c r="Q4" i="6"/>
  <c r="Q28" i="6"/>
  <c r="P29" i="6"/>
  <c r="P30" i="6" s="1"/>
  <c r="P31" i="6" s="1"/>
  <c r="V11" i="6"/>
  <c r="V12" i="6" s="1"/>
  <c r="V13" i="6" s="1"/>
  <c r="W10" i="6"/>
  <c r="T35" i="6"/>
  <c r="T36" i="6" s="1"/>
  <c r="T37" i="6" s="1"/>
  <c r="U34" i="6"/>
  <c r="Z4" i="5"/>
  <c r="Y5" i="5"/>
  <c r="Y6" i="5" s="1"/>
  <c r="Y7" i="5" s="1"/>
  <c r="O76" i="5"/>
  <c r="N77" i="5"/>
  <c r="N78" i="5" s="1"/>
  <c r="N79" i="5" s="1"/>
  <c r="R40" i="5"/>
  <c r="Q41" i="5"/>
  <c r="Q42" i="5" s="1"/>
  <c r="Q43" i="5" s="1"/>
  <c r="R34" i="5"/>
  <c r="Q35" i="5"/>
  <c r="Q36" i="5" s="1"/>
  <c r="Q37" i="5" s="1"/>
  <c r="N11" i="5"/>
  <c r="N12" i="5" s="1"/>
  <c r="N13" i="5" s="1"/>
  <c r="O10" i="5"/>
  <c r="R16" i="5"/>
  <c r="Q17" i="5"/>
  <c r="Q18" i="5" s="1"/>
  <c r="Q19" i="5" s="1"/>
  <c r="S28" i="5"/>
  <c r="R29" i="5"/>
  <c r="R30" i="5" s="1"/>
  <c r="R31" i="5" s="1"/>
  <c r="T22" i="5"/>
  <c r="S23" i="5"/>
  <c r="S24" i="5" s="1"/>
  <c r="S25" i="5" s="1"/>
  <c r="M90" i="2"/>
  <c r="M91" i="2" s="1"/>
  <c r="M84" i="2"/>
  <c r="M85" i="2" s="1"/>
  <c r="N82" i="2"/>
  <c r="M78" i="2"/>
  <c r="M79" i="2" s="1"/>
  <c r="N76" i="2"/>
  <c r="N77" i="2" s="1"/>
  <c r="M72" i="2"/>
  <c r="M73" i="2" s="1"/>
  <c r="N70" i="2"/>
  <c r="N71" i="2" s="1"/>
  <c r="M66" i="2"/>
  <c r="M67" i="2" s="1"/>
  <c r="N64" i="2"/>
  <c r="N65" i="2" s="1"/>
  <c r="N60" i="2"/>
  <c r="N61" i="2" s="1"/>
  <c r="O58" i="2"/>
  <c r="O59" i="2" s="1"/>
  <c r="M54" i="2"/>
  <c r="M55" i="2" s="1"/>
  <c r="N52" i="2"/>
  <c r="N53" i="2" s="1"/>
  <c r="M48" i="2"/>
  <c r="M49" i="2" s="1"/>
  <c r="N46" i="2"/>
  <c r="N47" i="2" s="1"/>
  <c r="O40" i="2"/>
  <c r="O41" i="2" s="1"/>
  <c r="N42" i="2"/>
  <c r="N43" i="2" s="1"/>
  <c r="P36" i="2"/>
  <c r="P37" i="2" s="1"/>
  <c r="Q34" i="2"/>
  <c r="Q35" i="2" s="1"/>
  <c r="Q30" i="2"/>
  <c r="Q31" i="2" s="1"/>
  <c r="R28" i="2"/>
  <c r="R29" i="2" s="1"/>
  <c r="O24" i="2"/>
  <c r="O25" i="2" s="1"/>
  <c r="P22" i="2"/>
  <c r="P23" i="2" s="1"/>
  <c r="P16" i="2"/>
  <c r="P17" i="2" s="1"/>
  <c r="O18" i="2"/>
  <c r="O19" i="2" s="1"/>
  <c r="M12" i="2"/>
  <c r="M13" i="2" s="1"/>
  <c r="U22" i="7" l="1"/>
  <c r="T23" i="7"/>
  <c r="T24" i="7" s="1"/>
  <c r="T25" i="7" s="1"/>
  <c r="R10" i="7"/>
  <c r="Q11" i="7"/>
  <c r="Q12" i="7" s="1"/>
  <c r="Q13" i="7" s="1"/>
  <c r="R4" i="7"/>
  <c r="Q5" i="7"/>
  <c r="Q6" i="7" s="1"/>
  <c r="Q7" i="7" s="1"/>
  <c r="W28" i="7"/>
  <c r="V29" i="7"/>
  <c r="V30" i="7" s="1"/>
  <c r="V31" i="7" s="1"/>
  <c r="T17" i="7"/>
  <c r="T18" i="7" s="1"/>
  <c r="T19" i="7" s="1"/>
  <c r="U16" i="7"/>
  <c r="S58" i="7"/>
  <c r="R59" i="7"/>
  <c r="R60" i="7" s="1"/>
  <c r="R61" i="7" s="1"/>
  <c r="O82" i="2"/>
  <c r="N83" i="2"/>
  <c r="T22" i="6"/>
  <c r="S23" i="6"/>
  <c r="S24" i="6" s="1"/>
  <c r="S25" i="6" s="1"/>
  <c r="V34" i="6"/>
  <c r="U35" i="6"/>
  <c r="U36" i="6" s="1"/>
  <c r="U37" i="6" s="1"/>
  <c r="R4" i="6"/>
  <c r="Q5" i="6"/>
  <c r="Q6" i="6" s="1"/>
  <c r="Q7" i="6" s="1"/>
  <c r="X10" i="6"/>
  <c r="W11" i="6"/>
  <c r="W12" i="6" s="1"/>
  <c r="W13" i="6" s="1"/>
  <c r="T16" i="6"/>
  <c r="S17" i="6"/>
  <c r="S18" i="6" s="1"/>
  <c r="S19" i="6" s="1"/>
  <c r="Q52" i="6"/>
  <c r="P53" i="6"/>
  <c r="P54" i="6" s="1"/>
  <c r="P55" i="6" s="1"/>
  <c r="R28" i="6"/>
  <c r="Q29" i="6"/>
  <c r="Q30" i="6" s="1"/>
  <c r="Q31" i="6" s="1"/>
  <c r="R41" i="5"/>
  <c r="R42" i="5" s="1"/>
  <c r="R43" i="5" s="1"/>
  <c r="S40" i="5"/>
  <c r="P10" i="5"/>
  <c r="O11" i="5"/>
  <c r="O12" i="5" s="1"/>
  <c r="O13" i="5" s="1"/>
  <c r="AA4" i="5"/>
  <c r="Z5" i="5"/>
  <c r="Z6" i="5" s="1"/>
  <c r="Z7" i="5" s="1"/>
  <c r="U22" i="5"/>
  <c r="T23" i="5"/>
  <c r="T24" i="5" s="1"/>
  <c r="T25" i="5" s="1"/>
  <c r="S34" i="5"/>
  <c r="R35" i="5"/>
  <c r="R36" i="5" s="1"/>
  <c r="R37" i="5" s="1"/>
  <c r="T28" i="5"/>
  <c r="S29" i="5"/>
  <c r="S30" i="5" s="1"/>
  <c r="S31" i="5" s="1"/>
  <c r="S16" i="5"/>
  <c r="R17" i="5"/>
  <c r="R18" i="5" s="1"/>
  <c r="R19" i="5" s="1"/>
  <c r="P76" i="5"/>
  <c r="O77" i="5"/>
  <c r="O78" i="5" s="1"/>
  <c r="O79" i="5" s="1"/>
  <c r="N84" i="2"/>
  <c r="N85" i="2" s="1"/>
  <c r="O76" i="2"/>
  <c r="N78" i="2"/>
  <c r="N79" i="2" s="1"/>
  <c r="O70" i="2"/>
  <c r="O71" i="2" s="1"/>
  <c r="N72" i="2"/>
  <c r="N73" i="2" s="1"/>
  <c r="N66" i="2"/>
  <c r="N67" i="2" s="1"/>
  <c r="O64" i="2"/>
  <c r="O65" i="2" s="1"/>
  <c r="P58" i="2"/>
  <c r="P59" i="2" s="1"/>
  <c r="O60" i="2"/>
  <c r="O61" i="2" s="1"/>
  <c r="O52" i="2"/>
  <c r="O53" i="2" s="1"/>
  <c r="N54" i="2"/>
  <c r="N55" i="2" s="1"/>
  <c r="O46" i="2"/>
  <c r="O47" i="2" s="1"/>
  <c r="N48" i="2"/>
  <c r="N49" i="2" s="1"/>
  <c r="P40" i="2"/>
  <c r="P41" i="2" s="1"/>
  <c r="O42" i="2"/>
  <c r="O43" i="2" s="1"/>
  <c r="R34" i="2"/>
  <c r="R35" i="2" s="1"/>
  <c r="Q36" i="2"/>
  <c r="Q37" i="2" s="1"/>
  <c r="R30" i="2"/>
  <c r="R31" i="2" s="1"/>
  <c r="S28" i="2"/>
  <c r="S29" i="2" s="1"/>
  <c r="P24" i="2"/>
  <c r="P25" i="2" s="1"/>
  <c r="Q22" i="2"/>
  <c r="Q23" i="2" s="1"/>
  <c r="Q16" i="2"/>
  <c r="Q17" i="2" s="1"/>
  <c r="P18" i="2"/>
  <c r="P19" i="2" s="1"/>
  <c r="N12" i="2"/>
  <c r="N13" i="2" s="1"/>
  <c r="X28" i="7" l="1"/>
  <c r="W29" i="7"/>
  <c r="W30" i="7" s="1"/>
  <c r="W31" i="7" s="1"/>
  <c r="S4" i="7"/>
  <c r="R5" i="7"/>
  <c r="R6" i="7" s="1"/>
  <c r="R7" i="7" s="1"/>
  <c r="V16" i="7"/>
  <c r="U17" i="7"/>
  <c r="U18" i="7" s="1"/>
  <c r="U19" i="7" s="1"/>
  <c r="S10" i="7"/>
  <c r="R11" i="7"/>
  <c r="R12" i="7" s="1"/>
  <c r="R13" i="7" s="1"/>
  <c r="V22" i="7"/>
  <c r="U23" i="7"/>
  <c r="U24" i="7" s="1"/>
  <c r="U25" i="7" s="1"/>
  <c r="P76" i="2"/>
  <c r="O77" i="2"/>
  <c r="O78" i="2" s="1"/>
  <c r="O79" i="2" s="1"/>
  <c r="Y10" i="6"/>
  <c r="X11" i="6"/>
  <c r="X12" i="6" s="1"/>
  <c r="X13" i="6" s="1"/>
  <c r="S28" i="6"/>
  <c r="R29" i="6"/>
  <c r="R30" i="6" s="1"/>
  <c r="R31" i="6" s="1"/>
  <c r="S4" i="6"/>
  <c r="R5" i="6"/>
  <c r="R6" i="6" s="1"/>
  <c r="R7" i="6" s="1"/>
  <c r="Q53" i="6"/>
  <c r="Q54" i="6" s="1"/>
  <c r="Q55" i="6" s="1"/>
  <c r="R52" i="6"/>
  <c r="W34" i="6"/>
  <c r="V35" i="6"/>
  <c r="V36" i="6" s="1"/>
  <c r="V37" i="6" s="1"/>
  <c r="U16" i="6"/>
  <c r="T17" i="6"/>
  <c r="T18" i="6" s="1"/>
  <c r="T19" i="6" s="1"/>
  <c r="U22" i="6"/>
  <c r="T23" i="6"/>
  <c r="T24" i="6" s="1"/>
  <c r="T25" i="6" s="1"/>
  <c r="AB4" i="5"/>
  <c r="AA5" i="5"/>
  <c r="AA6" i="5" s="1"/>
  <c r="AA7" i="5" s="1"/>
  <c r="Q10" i="5"/>
  <c r="P11" i="5"/>
  <c r="P12" i="5" s="1"/>
  <c r="P13" i="5" s="1"/>
  <c r="V22" i="5"/>
  <c r="U23" i="5"/>
  <c r="U24" i="5" s="1"/>
  <c r="U25" i="5" s="1"/>
  <c r="T16" i="5"/>
  <c r="S17" i="5"/>
  <c r="S18" i="5" s="1"/>
  <c r="S19" i="5" s="1"/>
  <c r="T40" i="5"/>
  <c r="S41" i="5"/>
  <c r="S42" i="5" s="1"/>
  <c r="S43" i="5" s="1"/>
  <c r="U28" i="5"/>
  <c r="T29" i="5"/>
  <c r="T30" i="5" s="1"/>
  <c r="T31" i="5" s="1"/>
  <c r="T34" i="5"/>
  <c r="S35" i="5"/>
  <c r="S36" i="5" s="1"/>
  <c r="S37" i="5" s="1"/>
  <c r="P70" i="2"/>
  <c r="O72" i="2"/>
  <c r="O73" i="2" s="1"/>
  <c r="P64" i="2"/>
  <c r="P65" i="2" s="1"/>
  <c r="O66" i="2"/>
  <c r="O67" i="2" s="1"/>
  <c r="Q58" i="2"/>
  <c r="Q59" i="2" s="1"/>
  <c r="P60" i="2"/>
  <c r="P61" i="2" s="1"/>
  <c r="P52" i="2"/>
  <c r="P53" i="2" s="1"/>
  <c r="O54" i="2"/>
  <c r="O55" i="2" s="1"/>
  <c r="P46" i="2"/>
  <c r="P47" i="2" s="1"/>
  <c r="O48" i="2"/>
  <c r="O49" i="2" s="1"/>
  <c r="Q40" i="2"/>
  <c r="Q41" i="2" s="1"/>
  <c r="P42" i="2"/>
  <c r="P43" i="2" s="1"/>
  <c r="S34" i="2"/>
  <c r="S35" i="2" s="1"/>
  <c r="R36" i="2"/>
  <c r="R37" i="2" s="1"/>
  <c r="S30" i="2"/>
  <c r="S31" i="2" s="1"/>
  <c r="T28" i="2"/>
  <c r="T29" i="2" s="1"/>
  <c r="R22" i="2"/>
  <c r="R23" i="2" s="1"/>
  <c r="Q24" i="2"/>
  <c r="Q25" i="2" s="1"/>
  <c r="R16" i="2"/>
  <c r="R17" i="2" s="1"/>
  <c r="Q18" i="2"/>
  <c r="Q19" i="2" s="1"/>
  <c r="O12" i="2"/>
  <c r="O13" i="2" s="1"/>
  <c r="T10" i="7" l="1"/>
  <c r="S11" i="7"/>
  <c r="S12" i="7" s="1"/>
  <c r="S13" i="7" s="1"/>
  <c r="W16" i="7"/>
  <c r="V17" i="7"/>
  <c r="V18" i="7" s="1"/>
  <c r="V19" i="7" s="1"/>
  <c r="T4" i="7"/>
  <c r="S5" i="7"/>
  <c r="S6" i="7" s="1"/>
  <c r="S7" i="7" s="1"/>
  <c r="W22" i="7"/>
  <c r="V23" i="7"/>
  <c r="V24" i="7" s="1"/>
  <c r="V25" i="7" s="1"/>
  <c r="Q70" i="2"/>
  <c r="P71" i="2"/>
  <c r="P72" i="2" s="1"/>
  <c r="P73" i="2" s="1"/>
  <c r="S52" i="6"/>
  <c r="R53" i="6"/>
  <c r="R54" i="6" s="1"/>
  <c r="R55" i="6" s="1"/>
  <c r="T4" i="6"/>
  <c r="S5" i="6"/>
  <c r="S6" i="6" s="1"/>
  <c r="S7" i="6" s="1"/>
  <c r="V16" i="6"/>
  <c r="U17" i="6"/>
  <c r="U18" i="6" s="1"/>
  <c r="U19" i="6" s="1"/>
  <c r="V22" i="6"/>
  <c r="U23" i="6"/>
  <c r="U24" i="6" s="1"/>
  <c r="U25" i="6" s="1"/>
  <c r="T28" i="6"/>
  <c r="S29" i="6"/>
  <c r="S30" i="6" s="1"/>
  <c r="S31" i="6" s="1"/>
  <c r="Z10" i="6"/>
  <c r="Y11" i="6"/>
  <c r="Y12" i="6" s="1"/>
  <c r="Y13" i="6" s="1"/>
  <c r="U16" i="5"/>
  <c r="T17" i="5"/>
  <c r="T18" i="5" s="1"/>
  <c r="T19" i="5" s="1"/>
  <c r="U29" i="5"/>
  <c r="U30" i="5" s="1"/>
  <c r="U31" i="5" s="1"/>
  <c r="V28" i="5"/>
  <c r="R10" i="5"/>
  <c r="Q11" i="5"/>
  <c r="Q12" i="5" s="1"/>
  <c r="Q13" i="5" s="1"/>
  <c r="T35" i="5"/>
  <c r="T36" i="5" s="1"/>
  <c r="T37" i="5" s="1"/>
  <c r="U34" i="5"/>
  <c r="W22" i="5"/>
  <c r="V23" i="5"/>
  <c r="V24" i="5" s="1"/>
  <c r="V25" i="5" s="1"/>
  <c r="U40" i="5"/>
  <c r="T41" i="5"/>
  <c r="T42" i="5" s="1"/>
  <c r="T43" i="5" s="1"/>
  <c r="Q64" i="2"/>
  <c r="P66" i="2"/>
  <c r="P67" i="2" s="1"/>
  <c r="Q60" i="2"/>
  <c r="Q61" i="2" s="1"/>
  <c r="R58" i="2"/>
  <c r="Q52" i="2"/>
  <c r="Q53" i="2" s="1"/>
  <c r="P54" i="2"/>
  <c r="P55" i="2" s="1"/>
  <c r="Q46" i="2"/>
  <c r="Q47" i="2" s="1"/>
  <c r="P48" i="2"/>
  <c r="P49" i="2" s="1"/>
  <c r="Q42" i="2"/>
  <c r="Q43" i="2" s="1"/>
  <c r="R40" i="2"/>
  <c r="R41" i="2" s="1"/>
  <c r="T34" i="2"/>
  <c r="T35" i="2" s="1"/>
  <c r="S36" i="2"/>
  <c r="S37" i="2" s="1"/>
  <c r="U28" i="2"/>
  <c r="U29" i="2" s="1"/>
  <c r="T30" i="2"/>
  <c r="T31" i="2" s="1"/>
  <c r="S22" i="2"/>
  <c r="S23" i="2" s="1"/>
  <c r="R24" i="2"/>
  <c r="R25" i="2" s="1"/>
  <c r="R18" i="2"/>
  <c r="R19" i="2" s="1"/>
  <c r="S16" i="2"/>
  <c r="S17" i="2" s="1"/>
  <c r="P12" i="2"/>
  <c r="P13" i="2" s="1"/>
  <c r="X22" i="7" l="1"/>
  <c r="W23" i="7"/>
  <c r="W24" i="7" s="1"/>
  <c r="W25" i="7" s="1"/>
  <c r="X16" i="7"/>
  <c r="W17" i="7"/>
  <c r="W18" i="7" s="1"/>
  <c r="W19" i="7" s="1"/>
  <c r="U4" i="7"/>
  <c r="T5" i="7"/>
  <c r="T6" i="7" s="1"/>
  <c r="T7" i="7" s="1"/>
  <c r="U10" i="7"/>
  <c r="T11" i="7"/>
  <c r="T12" i="7" s="1"/>
  <c r="T13" i="7" s="1"/>
  <c r="S58" i="2"/>
  <c r="R59" i="2"/>
  <c r="R60" i="2" s="1"/>
  <c r="R61" i="2" s="1"/>
  <c r="R64" i="2"/>
  <c r="R65" i="2" s="1"/>
  <c r="Q65" i="2"/>
  <c r="W22" i="6"/>
  <c r="V23" i="6"/>
  <c r="V24" i="6" s="1"/>
  <c r="V25" i="6" s="1"/>
  <c r="AA10" i="6"/>
  <c r="Z11" i="6"/>
  <c r="Z12" i="6" s="1"/>
  <c r="Z13" i="6" s="1"/>
  <c r="U4" i="6"/>
  <c r="T5" i="6"/>
  <c r="T6" i="6" s="1"/>
  <c r="T7" i="6" s="1"/>
  <c r="W16" i="6"/>
  <c r="V17" i="6"/>
  <c r="V18" i="6" s="1"/>
  <c r="V19" i="6" s="1"/>
  <c r="T29" i="6"/>
  <c r="T30" i="6" s="1"/>
  <c r="T31" i="6" s="1"/>
  <c r="U28" i="6"/>
  <c r="T52" i="6"/>
  <c r="S53" i="6"/>
  <c r="S54" i="6" s="1"/>
  <c r="S55" i="6" s="1"/>
  <c r="V34" i="5"/>
  <c r="U35" i="5"/>
  <c r="U36" i="5" s="1"/>
  <c r="U37" i="5" s="1"/>
  <c r="W28" i="5"/>
  <c r="V29" i="5"/>
  <c r="V30" i="5" s="1"/>
  <c r="V31" i="5" s="1"/>
  <c r="S10" i="5"/>
  <c r="R11" i="5"/>
  <c r="R12" i="5" s="1"/>
  <c r="R13" i="5" s="1"/>
  <c r="V40" i="5"/>
  <c r="U41" i="5"/>
  <c r="U42" i="5" s="1"/>
  <c r="U43" i="5" s="1"/>
  <c r="X22" i="5"/>
  <c r="W23" i="5"/>
  <c r="W24" i="5" s="1"/>
  <c r="W25" i="5" s="1"/>
  <c r="V16" i="5"/>
  <c r="U17" i="5"/>
  <c r="U18" i="5" s="1"/>
  <c r="U19" i="5" s="1"/>
  <c r="Q66" i="2"/>
  <c r="Q67" i="2" s="1"/>
  <c r="R52" i="2"/>
  <c r="R53" i="2" s="1"/>
  <c r="Q54" i="2"/>
  <c r="Q55" i="2" s="1"/>
  <c r="Q48" i="2"/>
  <c r="Q49" i="2" s="1"/>
  <c r="R46" i="2"/>
  <c r="R47" i="2" s="1"/>
  <c r="R42" i="2"/>
  <c r="R43" i="2" s="1"/>
  <c r="S40" i="2"/>
  <c r="S41" i="2" s="1"/>
  <c r="U34" i="2"/>
  <c r="U35" i="2" s="1"/>
  <c r="T36" i="2"/>
  <c r="T37" i="2" s="1"/>
  <c r="V28" i="2"/>
  <c r="V29" i="2" s="1"/>
  <c r="U30" i="2"/>
  <c r="U31" i="2" s="1"/>
  <c r="T22" i="2"/>
  <c r="T23" i="2" s="1"/>
  <c r="S24" i="2"/>
  <c r="S25" i="2" s="1"/>
  <c r="S18" i="2"/>
  <c r="S19" i="2" s="1"/>
  <c r="T16" i="2"/>
  <c r="T17" i="2" s="1"/>
  <c r="Q12" i="2"/>
  <c r="Q13" i="2" s="1"/>
  <c r="V10" i="7" l="1"/>
  <c r="U11" i="7"/>
  <c r="U12" i="7" s="1"/>
  <c r="U13" i="7" s="1"/>
  <c r="X17" i="7"/>
  <c r="X18" i="7" s="1"/>
  <c r="X19" i="7" s="1"/>
  <c r="Y16" i="7"/>
  <c r="V4" i="7"/>
  <c r="U5" i="7"/>
  <c r="U6" i="7" s="1"/>
  <c r="U7" i="7" s="1"/>
  <c r="Y22" i="7"/>
  <c r="X23" i="7"/>
  <c r="X24" i="7" s="1"/>
  <c r="X25" i="7" s="1"/>
  <c r="V4" i="6"/>
  <c r="U5" i="6"/>
  <c r="U6" i="6" s="1"/>
  <c r="U7" i="6" s="1"/>
  <c r="X16" i="6"/>
  <c r="W17" i="6"/>
  <c r="W18" i="6" s="1"/>
  <c r="W19" i="6" s="1"/>
  <c r="V28" i="6"/>
  <c r="U29" i="6"/>
  <c r="U30" i="6" s="1"/>
  <c r="U31" i="6" s="1"/>
  <c r="X22" i="6"/>
  <c r="W23" i="6"/>
  <c r="W24" i="6" s="1"/>
  <c r="W25" i="6" s="1"/>
  <c r="Y22" i="5"/>
  <c r="X23" i="5"/>
  <c r="X24" i="5" s="1"/>
  <c r="X25" i="5" s="1"/>
  <c r="W34" i="5"/>
  <c r="V35" i="5"/>
  <c r="V36" i="5" s="1"/>
  <c r="V37" i="5" s="1"/>
  <c r="X28" i="5"/>
  <c r="W29" i="5"/>
  <c r="W30" i="5" s="1"/>
  <c r="W31" i="5" s="1"/>
  <c r="T10" i="5"/>
  <c r="S11" i="5"/>
  <c r="S12" i="5" s="1"/>
  <c r="S13" i="5" s="1"/>
  <c r="V17" i="5"/>
  <c r="V18" i="5" s="1"/>
  <c r="V19" i="5" s="1"/>
  <c r="W16" i="5"/>
  <c r="R54" i="2"/>
  <c r="R55" i="2" s="1"/>
  <c r="S52" i="2"/>
  <c r="R48" i="2"/>
  <c r="R49" i="2" s="1"/>
  <c r="S46" i="2"/>
  <c r="S47" i="2" s="1"/>
  <c r="S42" i="2"/>
  <c r="S43" i="2" s="1"/>
  <c r="T40" i="2"/>
  <c r="T41" i="2" s="1"/>
  <c r="V34" i="2"/>
  <c r="V35" i="2" s="1"/>
  <c r="Y35" i="2" s="1"/>
  <c r="U36" i="2"/>
  <c r="U37" i="2" s="1"/>
  <c r="W28" i="2"/>
  <c r="V30" i="2"/>
  <c r="V31" i="2" s="1"/>
  <c r="U22" i="2"/>
  <c r="U23" i="2" s="1"/>
  <c r="T24" i="2"/>
  <c r="T25" i="2" s="1"/>
  <c r="T18" i="2"/>
  <c r="T19" i="2" s="1"/>
  <c r="U16" i="2"/>
  <c r="U17" i="2" s="1"/>
  <c r="R12" i="2"/>
  <c r="R13" i="2" s="1"/>
  <c r="W4" i="7" l="1"/>
  <c r="V5" i="7"/>
  <c r="V6" i="7" s="1"/>
  <c r="V7" i="7" s="1"/>
  <c r="Z16" i="7"/>
  <c r="Y17" i="7"/>
  <c r="Y18" i="7" s="1"/>
  <c r="Y19" i="7" s="1"/>
  <c r="W10" i="7"/>
  <c r="V11" i="7"/>
  <c r="V12" i="7" s="1"/>
  <c r="V13" i="7" s="1"/>
  <c r="T52" i="2"/>
  <c r="S53" i="2"/>
  <c r="S54" i="2" s="1"/>
  <c r="S55" i="2" s="1"/>
  <c r="X28" i="2"/>
  <c r="W29" i="2"/>
  <c r="W30" i="2" s="1"/>
  <c r="W31" i="2" s="1"/>
  <c r="X23" i="6"/>
  <c r="X24" i="6" s="1"/>
  <c r="X25" i="6" s="1"/>
  <c r="Y22" i="6"/>
  <c r="W28" i="6"/>
  <c r="V29" i="6"/>
  <c r="V30" i="6" s="1"/>
  <c r="V31" i="6" s="1"/>
  <c r="X17" i="6"/>
  <c r="X18" i="6" s="1"/>
  <c r="X19" i="6" s="1"/>
  <c r="Y16" i="6"/>
  <c r="V5" i="6"/>
  <c r="V6" i="6" s="1"/>
  <c r="V7" i="6" s="1"/>
  <c r="W4" i="6"/>
  <c r="U10" i="5"/>
  <c r="T11" i="5"/>
  <c r="T12" i="5" s="1"/>
  <c r="T13" i="5" s="1"/>
  <c r="X16" i="5"/>
  <c r="W17" i="5"/>
  <c r="W18" i="5" s="1"/>
  <c r="W19" i="5" s="1"/>
  <c r="S48" i="2"/>
  <c r="S49" i="2" s="1"/>
  <c r="T46" i="2"/>
  <c r="T42" i="2"/>
  <c r="T43" i="2" s="1"/>
  <c r="U40" i="2"/>
  <c r="U41" i="2" s="1"/>
  <c r="V36" i="2"/>
  <c r="V37" i="2" s="1"/>
  <c r="W34" i="2"/>
  <c r="V22" i="2"/>
  <c r="V23" i="2" s="1"/>
  <c r="U24" i="2"/>
  <c r="U25" i="2" s="1"/>
  <c r="V16" i="2"/>
  <c r="V17" i="2" s="1"/>
  <c r="U18" i="2"/>
  <c r="U19" i="2" s="1"/>
  <c r="S12" i="2"/>
  <c r="S13" i="2" s="1"/>
  <c r="X10" i="7" l="1"/>
  <c r="W11" i="7"/>
  <c r="W12" i="7" s="1"/>
  <c r="W13" i="7" s="1"/>
  <c r="W5" i="7"/>
  <c r="W6" i="7" s="1"/>
  <c r="W7" i="7" s="1"/>
  <c r="X4" i="7"/>
  <c r="U46" i="2"/>
  <c r="T47" i="2"/>
  <c r="T48" i="2" s="1"/>
  <c r="T49" i="2" s="1"/>
  <c r="X4" i="6"/>
  <c r="W5" i="6"/>
  <c r="W6" i="6" s="1"/>
  <c r="W7" i="6" s="1"/>
  <c r="Z16" i="6"/>
  <c r="Y17" i="6"/>
  <c r="Y18" i="6" s="1"/>
  <c r="Y19" i="6" s="1"/>
  <c r="X28" i="6"/>
  <c r="W29" i="6"/>
  <c r="W30" i="6" s="1"/>
  <c r="W31" i="6" s="1"/>
  <c r="U11" i="5"/>
  <c r="U12" i="5" s="1"/>
  <c r="U13" i="5" s="1"/>
  <c r="V10" i="5"/>
  <c r="Y16" i="5"/>
  <c r="X17" i="5"/>
  <c r="X18" i="5" s="1"/>
  <c r="X19" i="5" s="1"/>
  <c r="U42" i="2"/>
  <c r="U43" i="2" s="1"/>
  <c r="V40" i="2"/>
  <c r="V24" i="2"/>
  <c r="V25" i="2" s="1"/>
  <c r="W22" i="2"/>
  <c r="W23" i="2" s="1"/>
  <c r="W16" i="2"/>
  <c r="W17" i="2" s="1"/>
  <c r="V18" i="2"/>
  <c r="V19" i="2" s="1"/>
  <c r="T12" i="2"/>
  <c r="T13" i="2" s="1"/>
  <c r="Y4" i="7" l="1"/>
  <c r="X5" i="7"/>
  <c r="X6" i="7" s="1"/>
  <c r="X7" i="7" s="1"/>
  <c r="Y10" i="7"/>
  <c r="X11" i="7"/>
  <c r="X12" i="7" s="1"/>
  <c r="X13" i="7" s="1"/>
  <c r="X5" i="6"/>
  <c r="X6" i="6" s="1"/>
  <c r="X7" i="6" s="1"/>
  <c r="Y4" i="6"/>
  <c r="Z16" i="5"/>
  <c r="Y17" i="5"/>
  <c r="Y18" i="5" s="1"/>
  <c r="Y19" i="5" s="1"/>
  <c r="W10" i="5"/>
  <c r="V11" i="5"/>
  <c r="V12" i="5" s="1"/>
  <c r="V13" i="5" s="1"/>
  <c r="X22" i="2"/>
  <c r="W24" i="2"/>
  <c r="W25" i="2" s="1"/>
  <c r="X16" i="2"/>
  <c r="X17" i="2" s="1"/>
  <c r="W18" i="2"/>
  <c r="W19" i="2" s="1"/>
  <c r="U12" i="2"/>
  <c r="U13" i="2" s="1"/>
  <c r="Z10" i="7" l="1"/>
  <c r="Y11" i="7"/>
  <c r="Y12" i="7" s="1"/>
  <c r="Y13" i="7" s="1"/>
  <c r="Z4" i="7"/>
  <c r="Y5" i="7"/>
  <c r="Y6" i="7" s="1"/>
  <c r="Y7" i="7" s="1"/>
  <c r="Y22" i="2"/>
  <c r="X23" i="2"/>
  <c r="X24" i="2" s="1"/>
  <c r="X25" i="2" s="1"/>
  <c r="Z4" i="6"/>
  <c r="Y5" i="6"/>
  <c r="Y6" i="6" s="1"/>
  <c r="Y7" i="6" s="1"/>
  <c r="X10" i="5"/>
  <c r="W11" i="5"/>
  <c r="W12" i="5" s="1"/>
  <c r="W13" i="5" s="1"/>
  <c r="Y16" i="2"/>
  <c r="X18" i="2"/>
  <c r="X19" i="2" s="1"/>
  <c r="V12" i="2"/>
  <c r="V13" i="2" s="1"/>
  <c r="AA4" i="7" l="1"/>
  <c r="Z5" i="7"/>
  <c r="Z6" i="7" s="1"/>
  <c r="Z7" i="7" s="1"/>
  <c r="AA10" i="7"/>
  <c r="Z11" i="7"/>
  <c r="Z12" i="7" s="1"/>
  <c r="Z13" i="7" s="1"/>
  <c r="Z16" i="2"/>
  <c r="Y17" i="2"/>
  <c r="Y18" i="2" s="1"/>
  <c r="Y19" i="2" s="1"/>
  <c r="AA4" i="6"/>
  <c r="Z5" i="6"/>
  <c r="Z6" i="6" s="1"/>
  <c r="Z7" i="6" s="1"/>
  <c r="X11" i="5"/>
  <c r="X12" i="5" s="1"/>
  <c r="X13" i="5" s="1"/>
  <c r="Y10" i="5"/>
  <c r="W12" i="2"/>
  <c r="W13" i="2" s="1"/>
  <c r="AB4" i="7" l="1"/>
  <c r="AA5" i="7"/>
  <c r="AA6" i="7" s="1"/>
  <c r="AA7" i="7" s="1"/>
  <c r="AB4" i="6"/>
  <c r="AA5" i="6"/>
  <c r="AA6" i="6" s="1"/>
  <c r="AA7" i="6" s="1"/>
  <c r="Z10" i="5"/>
  <c r="Y11" i="5"/>
  <c r="Y12" i="5" s="1"/>
  <c r="Y13" i="5" s="1"/>
  <c r="X12" i="2"/>
  <c r="X13" i="2" s="1"/>
  <c r="Z11" i="5" l="1"/>
  <c r="Z12" i="5" s="1"/>
  <c r="Z13" i="5" s="1"/>
  <c r="AA10" i="5"/>
  <c r="Y12" i="2"/>
  <c r="Y13" i="2" s="1"/>
  <c r="Z12" i="2" l="1"/>
  <c r="Z13" i="2" s="1"/>
</calcChain>
</file>

<file path=xl/sharedStrings.xml><?xml version="1.0" encoding="utf-8"?>
<sst xmlns="http://schemas.openxmlformats.org/spreadsheetml/2006/main" count="697" uniqueCount="39">
  <si>
    <t>RTP</t>
  </si>
  <si>
    <t>Prob</t>
  </si>
  <si>
    <t>Mine</t>
  </si>
  <si>
    <t>Gem</t>
  </si>
  <si>
    <t>Total Blocks</t>
  </si>
  <si>
    <t>Unlocked Gem Number</t>
  </si>
  <si>
    <t>Multiplier</t>
  </si>
  <si>
    <t>Case 1</t>
  </si>
  <si>
    <t>Final Payout</t>
  </si>
  <si>
    <t>Stake RTP</t>
  </si>
  <si>
    <t>New Required RTP</t>
  </si>
  <si>
    <t xml:space="preserve">The multiplier can take any value between the range 1.01 - 1000000. </t>
  </si>
  <si>
    <t>Just put the multiplier in the column G to get the Probability of them given the RTP is 98%.</t>
  </si>
  <si>
    <t xml:space="preserve">These are some sample numbers which I have showcased while determining the relation between RTP, Probability and the Multiplier </t>
  </si>
  <si>
    <r>
      <t xml:space="preserve">The actual function to determine the probability is </t>
    </r>
    <r>
      <rPr>
        <b/>
        <u/>
        <sz val="11"/>
        <rFont val="Calibri"/>
        <family val="2"/>
        <scheme val="minor"/>
      </rPr>
      <t>(RTP/ Multiplier)</t>
    </r>
    <r>
      <rPr>
        <sz val="1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given in columns D and H. Please refer to that formula.</t>
    </r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</si>
  <si>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</si>
  <si>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</si>
  <si>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</si>
  <si>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</si>
  <si>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</si>
  <si>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</si>
  <si>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</si>
  <si>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</si>
  <si>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</si>
  <si>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</si>
  <si>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</si>
  <si>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</si>
  <si>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</si>
  <si>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</si>
  <si>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</si>
  <si>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</si>
  <si>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</si>
  <si>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</si>
  <si>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</si>
  <si>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</si>
  <si>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</si>
  <si>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</si>
  <si>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</si>
  <si>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Any number less than 1.11 doesn't make much sense, as the prob is becoming more than 1, which is not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</si>
</sst>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%"/>
    <numFmt numFmtId="165" formatCode="0.000000"/>
    <numFmt numFmtId="166" formatCode="0.00000"/>
    <numFmt numFmtId="167" formatCode="0.0000"/>
    <numFmt numFmtId="168" formatCode="0.000"/>
    <numFmt numFmtId="169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2" xfId="0" applyFont="1" applyBorder="1"/>
    <xf numFmtId="9" fontId="2" fillId="0" borderId="3" xfId="0" applyNumberFormat="1" applyFont="1" applyBorder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5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15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9" fontId="0" fillId="0" borderId="1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7" fontId="0" fillId="0" borderId="6" xfId="0" applyNumberForma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/>
    <xf numFmtId="167" fontId="0" fillId="0" borderId="7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7" fontId="0" fillId="0" borderId="4" xfId="0" applyNumberFormat="1" applyBorder="1" applyAlignment="1">
      <alignment horizontal="center"/>
    </xf>
    <xf numFmtId="9" fontId="2" fillId="2" borderId="7" xfId="0" applyNumberFormat="1" applyFont="1" applyFill="1" applyBorder="1" applyAlignment="1">
      <alignment horizontal="center"/>
    </xf>
    <xf numFmtId="9" fontId="2" fillId="2" borderId="7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D8F60-B779-4A44-96A0-DB6543A59ED9}">
  <sheetPr codeName="Sheet1"/>
  <dimension ref="B1:P26"/>
  <sheetViews>
    <sheetView zoomScale="140" zoomScaleNormal="140" workbookViewId="0">
      <selection activeCell="C21" sqref="C21"/>
    </sheetView>
  </sheetViews>
  <sheetFormatPr baseColWidth="10" defaultColWidth="8.83203125" defaultRowHeight="15" x14ac:dyDescent="0.2"/>
  <cols>
    <col min="1" max="1" width="12.33203125" bestFit="1" customWidth="1"/>
    <col min="2" max="2" width="10.5" customWidth="1"/>
    <col min="3" max="3" width="12.1640625" customWidth="1"/>
    <col min="4" max="4" width="10.33203125" customWidth="1"/>
    <col min="6" max="6" width="10.1640625" customWidth="1"/>
    <col min="7" max="7" width="11" customWidth="1"/>
    <col min="8" max="8" width="16.1640625" bestFit="1" customWidth="1"/>
    <col min="10" max="10" width="10.83203125" customWidth="1"/>
    <col min="11" max="11" width="11.83203125" customWidth="1"/>
    <col min="12" max="12" width="16.1640625" bestFit="1" customWidth="1"/>
    <col min="14" max="14" width="11.83203125" customWidth="1"/>
    <col min="15" max="15" width="15.5" customWidth="1"/>
    <col min="16" max="16" width="20.5" customWidth="1"/>
  </cols>
  <sheetData>
    <row r="1" spans="2:16" ht="16" thickBot="1" x14ac:dyDescent="0.25">
      <c r="B1" s="14" t="s">
        <v>6</v>
      </c>
      <c r="C1" s="9" t="s">
        <v>1</v>
      </c>
      <c r="D1" s="16" t="s">
        <v>9</v>
      </c>
      <c r="E1" s="13"/>
      <c r="F1" s="14" t="s">
        <v>6</v>
      </c>
      <c r="G1" s="9" t="s">
        <v>1</v>
      </c>
      <c r="H1" s="16" t="s">
        <v>10</v>
      </c>
      <c r="J1" s="14" t="s">
        <v>6</v>
      </c>
      <c r="K1" s="9" t="s">
        <v>1</v>
      </c>
      <c r="L1" s="16" t="s">
        <v>10</v>
      </c>
      <c r="N1" s="14" t="s">
        <v>6</v>
      </c>
      <c r="O1" s="9" t="s">
        <v>1</v>
      </c>
      <c r="P1" s="16" t="s">
        <v>10</v>
      </c>
    </row>
    <row r="2" spans="2:16" x14ac:dyDescent="0.2">
      <c r="B2" s="5">
        <v>1.01</v>
      </c>
      <c r="C2" s="21">
        <f>$D$2/B2</f>
        <v>0.98019801980198018</v>
      </c>
      <c r="D2" s="54">
        <v>0.99</v>
      </c>
      <c r="E2" s="13"/>
      <c r="F2" s="5">
        <v>1.01</v>
      </c>
      <c r="G2" s="21">
        <f>$H$2/F2</f>
        <v>0.96039603960396036</v>
      </c>
      <c r="H2" s="53">
        <v>0.97</v>
      </c>
      <c r="J2" s="5">
        <v>1.01</v>
      </c>
      <c r="K2" s="21">
        <f>$L$2/J2</f>
        <v>0.94059405940594054</v>
      </c>
      <c r="L2" s="53">
        <v>0.95</v>
      </c>
      <c r="N2" s="5">
        <v>1.1100000000000001</v>
      </c>
      <c r="O2" s="21">
        <f>$P$2/N2</f>
        <v>0.83783783783783783</v>
      </c>
      <c r="P2" s="53">
        <v>0.93</v>
      </c>
    </row>
    <row r="3" spans="2:16" x14ac:dyDescent="0.2">
      <c r="B3" s="5">
        <v>2.0099999999999998</v>
      </c>
      <c r="C3" s="21">
        <f t="shared" ref="C3:C21" si="0">$D$2/B3</f>
        <v>0.49253731343283585</v>
      </c>
      <c r="D3" s="6"/>
      <c r="E3" s="13"/>
      <c r="F3" s="5">
        <v>2.0099999999999998</v>
      </c>
      <c r="G3" s="21">
        <f t="shared" ref="G3:G21" si="1">$H$2/F3</f>
        <v>0.48258706467661694</v>
      </c>
      <c r="H3" s="6"/>
      <c r="J3" s="5">
        <v>2.0099999999999998</v>
      </c>
      <c r="K3" s="21">
        <f t="shared" ref="K3:K21" si="2">$L$2/J3</f>
        <v>0.47263681592039802</v>
      </c>
      <c r="L3" s="6"/>
      <c r="N3" s="5">
        <v>2.0099999999999998</v>
      </c>
      <c r="O3" s="21">
        <f t="shared" ref="O3:O21" si="3">$P$2/N3</f>
        <v>0.46268656716417916</v>
      </c>
      <c r="P3" s="6"/>
    </row>
    <row r="4" spans="2:16" x14ac:dyDescent="0.2">
      <c r="B4" s="5">
        <v>3.01</v>
      </c>
      <c r="C4" s="21">
        <f t="shared" si="0"/>
        <v>0.32890365448504988</v>
      </c>
      <c r="D4" s="6"/>
      <c r="E4" s="13"/>
      <c r="F4" s="5">
        <v>3.01</v>
      </c>
      <c r="G4" s="21">
        <f t="shared" si="1"/>
        <v>0.32225913621262459</v>
      </c>
      <c r="H4" s="6"/>
      <c r="J4" s="5">
        <v>3.01</v>
      </c>
      <c r="K4" s="21">
        <f t="shared" si="2"/>
        <v>0.31561461794019935</v>
      </c>
      <c r="L4" s="6"/>
      <c r="N4" s="5">
        <v>3.01</v>
      </c>
      <c r="O4" s="21">
        <f t="shared" si="3"/>
        <v>0.30897009966777411</v>
      </c>
      <c r="P4" s="6"/>
    </row>
    <row r="5" spans="2:16" x14ac:dyDescent="0.2">
      <c r="B5" s="5">
        <v>4.01</v>
      </c>
      <c r="C5" s="21">
        <f t="shared" si="0"/>
        <v>0.24688279301745636</v>
      </c>
      <c r="D5" s="6"/>
      <c r="E5" s="13"/>
      <c r="F5" s="5">
        <v>4.01</v>
      </c>
      <c r="G5" s="21">
        <f t="shared" si="1"/>
        <v>0.24189526184538654</v>
      </c>
      <c r="H5" s="6"/>
      <c r="J5" s="5">
        <v>4.01</v>
      </c>
      <c r="K5" s="21">
        <f t="shared" si="2"/>
        <v>0.23690773067331672</v>
      </c>
      <c r="L5" s="6"/>
      <c r="N5" s="5">
        <v>4.01</v>
      </c>
      <c r="O5" s="21">
        <f t="shared" si="3"/>
        <v>0.2319201995012469</v>
      </c>
      <c r="P5" s="6"/>
    </row>
    <row r="6" spans="2:16" x14ac:dyDescent="0.2">
      <c r="B6" s="5">
        <v>5.01</v>
      </c>
      <c r="C6" s="21">
        <f t="shared" si="0"/>
        <v>0.19760479041916168</v>
      </c>
      <c r="D6" s="6"/>
      <c r="E6" s="13"/>
      <c r="F6" s="5">
        <v>5.01</v>
      </c>
      <c r="G6" s="21">
        <f t="shared" si="1"/>
        <v>0.19361277445109781</v>
      </c>
      <c r="H6" s="6"/>
      <c r="J6" s="5">
        <v>5.01</v>
      </c>
      <c r="K6" s="21">
        <f t="shared" si="2"/>
        <v>0.18962075848303392</v>
      </c>
      <c r="L6" s="6"/>
      <c r="N6" s="5">
        <v>5.01</v>
      </c>
      <c r="O6" s="21">
        <f t="shared" si="3"/>
        <v>0.18562874251497008</v>
      </c>
      <c r="P6" s="6"/>
    </row>
    <row r="7" spans="2:16" x14ac:dyDescent="0.2">
      <c r="B7" s="5">
        <v>6.01</v>
      </c>
      <c r="C7" s="21">
        <f t="shared" si="0"/>
        <v>0.16472545757071547</v>
      </c>
      <c r="D7" s="6"/>
      <c r="E7" s="13"/>
      <c r="F7" s="5">
        <v>6.01</v>
      </c>
      <c r="G7" s="21">
        <f t="shared" si="1"/>
        <v>0.16139767054908485</v>
      </c>
      <c r="H7" s="6"/>
      <c r="J7" s="5">
        <v>6.01</v>
      </c>
      <c r="K7" s="21">
        <f t="shared" si="2"/>
        <v>0.15806988352745424</v>
      </c>
      <c r="L7" s="6"/>
      <c r="N7" s="5">
        <v>6.01</v>
      </c>
      <c r="O7" s="21">
        <f t="shared" si="3"/>
        <v>0.15474209650582363</v>
      </c>
      <c r="P7" s="6"/>
    </row>
    <row r="8" spans="2:16" x14ac:dyDescent="0.2">
      <c r="B8" s="5">
        <v>7.01</v>
      </c>
      <c r="C8" s="21">
        <f t="shared" si="0"/>
        <v>0.14122681883024252</v>
      </c>
      <c r="D8" s="6"/>
      <c r="E8" s="13"/>
      <c r="F8" s="5">
        <v>7.01</v>
      </c>
      <c r="G8" s="21">
        <f t="shared" si="1"/>
        <v>0.13837375178316691</v>
      </c>
      <c r="H8" s="6"/>
      <c r="J8" s="5">
        <v>7.01</v>
      </c>
      <c r="K8" s="21">
        <f t="shared" si="2"/>
        <v>0.1355206847360913</v>
      </c>
      <c r="L8" s="6"/>
      <c r="N8" s="5">
        <v>7.01</v>
      </c>
      <c r="O8" s="21">
        <f t="shared" si="3"/>
        <v>0.13266761768901569</v>
      </c>
      <c r="P8" s="6"/>
    </row>
    <row r="9" spans="2:16" x14ac:dyDescent="0.2">
      <c r="B9" s="5">
        <v>8.01</v>
      </c>
      <c r="C9" s="21">
        <f t="shared" si="0"/>
        <v>0.12359550561797752</v>
      </c>
      <c r="D9" s="6"/>
      <c r="E9" s="13"/>
      <c r="F9" s="5">
        <v>8.01</v>
      </c>
      <c r="G9" s="21">
        <f t="shared" si="1"/>
        <v>0.12109862671660425</v>
      </c>
      <c r="H9" s="6"/>
      <c r="J9" s="5">
        <v>8.01</v>
      </c>
      <c r="K9" s="21">
        <f t="shared" si="2"/>
        <v>0.11860174781523096</v>
      </c>
      <c r="L9" s="6"/>
      <c r="N9" s="5">
        <v>8.01</v>
      </c>
      <c r="O9" s="21">
        <f t="shared" si="3"/>
        <v>0.11610486891385768</v>
      </c>
      <c r="P9" s="6"/>
    </row>
    <row r="10" spans="2:16" x14ac:dyDescent="0.2">
      <c r="B10" s="5">
        <v>9.01</v>
      </c>
      <c r="C10" s="21">
        <f t="shared" si="0"/>
        <v>0.10987791342952276</v>
      </c>
      <c r="D10" s="6"/>
      <c r="E10" s="13"/>
      <c r="F10" s="5">
        <v>9.01</v>
      </c>
      <c r="G10" s="21">
        <f t="shared" si="1"/>
        <v>0.1076581576026637</v>
      </c>
      <c r="H10" s="6"/>
      <c r="J10" s="5">
        <v>9.01</v>
      </c>
      <c r="K10" s="21">
        <f t="shared" si="2"/>
        <v>0.10543840177580466</v>
      </c>
      <c r="L10" s="6"/>
      <c r="N10" s="5">
        <v>9.01</v>
      </c>
      <c r="O10" s="21">
        <f t="shared" si="3"/>
        <v>0.10321864594894563</v>
      </c>
      <c r="P10" s="6"/>
    </row>
    <row r="11" spans="2:16" x14ac:dyDescent="0.2">
      <c r="B11" s="5">
        <v>10.01</v>
      </c>
      <c r="C11" s="21">
        <f t="shared" si="0"/>
        <v>9.8901098901098897E-2</v>
      </c>
      <c r="D11" s="6"/>
      <c r="E11" s="13"/>
      <c r="F11" s="5">
        <v>10.01</v>
      </c>
      <c r="G11" s="21">
        <f t="shared" si="1"/>
        <v>9.6903096903096897E-2</v>
      </c>
      <c r="H11" s="6"/>
      <c r="J11" s="5">
        <v>10.01</v>
      </c>
      <c r="K11" s="21">
        <f t="shared" si="2"/>
        <v>9.4905094905094897E-2</v>
      </c>
      <c r="L11" s="6"/>
      <c r="N11" s="5">
        <v>10.01</v>
      </c>
      <c r="O11" s="21">
        <f t="shared" si="3"/>
        <v>9.2907092907092911E-2</v>
      </c>
      <c r="P11" s="6"/>
    </row>
    <row r="12" spans="2:16" x14ac:dyDescent="0.2">
      <c r="B12" s="5">
        <v>11.01</v>
      </c>
      <c r="C12" s="21">
        <f t="shared" si="0"/>
        <v>8.9918256130790186E-2</v>
      </c>
      <c r="D12" s="6"/>
      <c r="E12" s="13"/>
      <c r="F12" s="5">
        <v>11.01</v>
      </c>
      <c r="G12" s="21">
        <f t="shared" si="1"/>
        <v>8.8101725703905537E-2</v>
      </c>
      <c r="H12" s="6"/>
      <c r="J12" s="5">
        <v>11.01</v>
      </c>
      <c r="K12" s="21">
        <f t="shared" si="2"/>
        <v>8.6285195277020887E-2</v>
      </c>
      <c r="L12" s="6"/>
      <c r="N12" s="5">
        <v>11.01</v>
      </c>
      <c r="O12" s="21">
        <f t="shared" si="3"/>
        <v>8.4468664850136252E-2</v>
      </c>
      <c r="P12" s="6"/>
    </row>
    <row r="13" spans="2:16" x14ac:dyDescent="0.2">
      <c r="B13" s="5">
        <v>12.01</v>
      </c>
      <c r="C13" s="21">
        <f t="shared" si="0"/>
        <v>8.2431307243963359E-2</v>
      </c>
      <c r="D13" s="6"/>
      <c r="E13" s="13"/>
      <c r="F13" s="5">
        <v>12.01</v>
      </c>
      <c r="G13" s="21">
        <f t="shared" si="1"/>
        <v>8.0766028309741875E-2</v>
      </c>
      <c r="H13" s="6"/>
      <c r="J13" s="5">
        <v>12.01</v>
      </c>
      <c r="K13" s="21">
        <f t="shared" si="2"/>
        <v>7.9100749375520391E-2</v>
      </c>
      <c r="L13" s="6"/>
      <c r="N13" s="5">
        <v>12.01</v>
      </c>
      <c r="O13" s="21">
        <f t="shared" si="3"/>
        <v>7.743547044129892E-2</v>
      </c>
      <c r="P13" s="6"/>
    </row>
    <row r="14" spans="2:16" x14ac:dyDescent="0.2">
      <c r="B14" s="5">
        <v>13.01</v>
      </c>
      <c r="C14" s="21">
        <f t="shared" si="0"/>
        <v>7.6095311299000767E-2</v>
      </c>
      <c r="D14" s="6"/>
      <c r="E14" s="13"/>
      <c r="F14" s="5">
        <v>13.01</v>
      </c>
      <c r="G14" s="21">
        <f t="shared" si="1"/>
        <v>7.4558032282859343E-2</v>
      </c>
      <c r="H14" s="6"/>
      <c r="J14" s="5">
        <v>13.01</v>
      </c>
      <c r="K14" s="21">
        <f t="shared" si="2"/>
        <v>7.3020753266717905E-2</v>
      </c>
      <c r="L14" s="6"/>
      <c r="N14" s="5">
        <v>13.01</v>
      </c>
      <c r="O14" s="21">
        <f t="shared" si="3"/>
        <v>7.1483474250576481E-2</v>
      </c>
      <c r="P14" s="6"/>
    </row>
    <row r="15" spans="2:16" x14ac:dyDescent="0.2">
      <c r="B15" s="5">
        <v>14.01</v>
      </c>
      <c r="C15" s="21">
        <f t="shared" si="0"/>
        <v>7.0663811563169171E-2</v>
      </c>
      <c r="D15" s="6"/>
      <c r="E15" s="13"/>
      <c r="F15" s="5">
        <v>14.01</v>
      </c>
      <c r="G15" s="21">
        <f t="shared" si="1"/>
        <v>6.9236259814418277E-2</v>
      </c>
      <c r="H15" s="6"/>
      <c r="J15" s="5">
        <v>14.01</v>
      </c>
      <c r="K15" s="21">
        <f t="shared" si="2"/>
        <v>6.7808708065667384E-2</v>
      </c>
      <c r="L15" s="6"/>
      <c r="N15" s="5">
        <v>14.01</v>
      </c>
      <c r="O15" s="21">
        <f t="shared" si="3"/>
        <v>6.638115631691649E-2</v>
      </c>
      <c r="P15" s="6"/>
    </row>
    <row r="16" spans="2:16" x14ac:dyDescent="0.2">
      <c r="B16" s="5">
        <v>15.01</v>
      </c>
      <c r="C16" s="21">
        <f t="shared" si="0"/>
        <v>6.5956029313790812E-2</v>
      </c>
      <c r="D16" s="6"/>
      <c r="E16" s="13"/>
      <c r="F16" s="5">
        <v>15.01</v>
      </c>
      <c r="G16" s="21">
        <f t="shared" si="1"/>
        <v>6.4623584277148566E-2</v>
      </c>
      <c r="H16" s="6"/>
      <c r="J16" s="5">
        <v>15.01</v>
      </c>
      <c r="K16" s="21">
        <f t="shared" si="2"/>
        <v>6.3291139240506333E-2</v>
      </c>
      <c r="L16" s="6"/>
      <c r="N16" s="5">
        <v>15.01</v>
      </c>
      <c r="O16" s="21">
        <f t="shared" si="3"/>
        <v>6.1958694203864094E-2</v>
      </c>
      <c r="P16" s="6"/>
    </row>
    <row r="17" spans="2:16" x14ac:dyDescent="0.2">
      <c r="B17" s="5">
        <v>16.010000000000002</v>
      </c>
      <c r="C17" s="21">
        <f t="shared" si="0"/>
        <v>6.1836352279825105E-2</v>
      </c>
      <c r="D17" s="6"/>
      <c r="E17" s="13"/>
      <c r="F17" s="5">
        <v>16.010000000000002</v>
      </c>
      <c r="G17" s="21">
        <f t="shared" si="1"/>
        <v>6.0587133041848838E-2</v>
      </c>
      <c r="H17" s="6"/>
      <c r="J17" s="5">
        <v>16.010000000000002</v>
      </c>
      <c r="K17" s="21">
        <f t="shared" si="2"/>
        <v>5.9337913803872572E-2</v>
      </c>
      <c r="L17" s="6"/>
      <c r="N17" s="5">
        <v>16.010000000000002</v>
      </c>
      <c r="O17" s="21">
        <f t="shared" si="3"/>
        <v>5.8088694565896312E-2</v>
      </c>
      <c r="P17" s="6"/>
    </row>
    <row r="18" spans="2:16" x14ac:dyDescent="0.2">
      <c r="B18" s="5">
        <v>17.010000000000002</v>
      </c>
      <c r="C18" s="21">
        <f t="shared" si="0"/>
        <v>5.8201058201058198E-2</v>
      </c>
      <c r="D18" s="6"/>
      <c r="E18" s="13"/>
      <c r="F18" s="5">
        <v>17.010000000000002</v>
      </c>
      <c r="G18" s="21">
        <f t="shared" si="1"/>
        <v>5.7025279247501462E-2</v>
      </c>
      <c r="H18" s="6"/>
      <c r="J18" s="5">
        <v>17.010000000000002</v>
      </c>
      <c r="K18" s="21">
        <f t="shared" si="2"/>
        <v>5.5849500293944733E-2</v>
      </c>
      <c r="L18" s="6"/>
      <c r="N18" s="5">
        <v>17.010000000000002</v>
      </c>
      <c r="O18" s="21">
        <f t="shared" si="3"/>
        <v>5.4673721340388004E-2</v>
      </c>
      <c r="P18" s="6"/>
    </row>
    <row r="19" spans="2:16" x14ac:dyDescent="0.2">
      <c r="B19" s="5">
        <v>18.010000000000002</v>
      </c>
      <c r="C19" s="21">
        <f t="shared" si="0"/>
        <v>5.4969461410327589E-2</v>
      </c>
      <c r="D19" s="6"/>
      <c r="E19" s="13"/>
      <c r="F19" s="5">
        <v>18.010000000000002</v>
      </c>
      <c r="G19" s="21">
        <f t="shared" si="1"/>
        <v>5.3858967240421982E-2</v>
      </c>
      <c r="H19" s="6"/>
      <c r="J19" s="5">
        <v>18.010000000000002</v>
      </c>
      <c r="K19" s="21">
        <f t="shared" si="2"/>
        <v>5.2748473070516375E-2</v>
      </c>
      <c r="L19" s="6"/>
      <c r="N19" s="5">
        <v>18.010000000000002</v>
      </c>
      <c r="O19" s="21">
        <f t="shared" si="3"/>
        <v>5.1637978900610768E-2</v>
      </c>
      <c r="P19" s="6"/>
    </row>
    <row r="20" spans="2:16" x14ac:dyDescent="0.2">
      <c r="B20" s="5">
        <v>19.010000000000002</v>
      </c>
      <c r="C20" s="21">
        <f t="shared" si="0"/>
        <v>5.2077853761178322E-2</v>
      </c>
      <c r="D20" s="6"/>
      <c r="E20" s="13"/>
      <c r="F20" s="5">
        <v>19.010000000000002</v>
      </c>
      <c r="G20" s="21">
        <f t="shared" si="1"/>
        <v>5.1025775907417144E-2</v>
      </c>
      <c r="H20" s="6"/>
      <c r="J20" s="5">
        <v>19.010000000000002</v>
      </c>
      <c r="K20" s="21">
        <f t="shared" si="2"/>
        <v>4.9973698053655966E-2</v>
      </c>
      <c r="L20" s="6"/>
      <c r="N20" s="5">
        <v>19.010000000000002</v>
      </c>
      <c r="O20" s="21">
        <f t="shared" si="3"/>
        <v>4.8921620199894794E-2</v>
      </c>
      <c r="P20" s="6"/>
    </row>
    <row r="21" spans="2:16" ht="16" thickBot="1" x14ac:dyDescent="0.25">
      <c r="B21" s="7">
        <v>20.010000000000002</v>
      </c>
      <c r="C21" s="22">
        <f t="shared" si="0"/>
        <v>4.9475262368815588E-2</v>
      </c>
      <c r="D21" s="8"/>
      <c r="E21" s="13"/>
      <c r="F21" s="7">
        <v>20.010000000000002</v>
      </c>
      <c r="G21" s="22">
        <f t="shared" si="1"/>
        <v>4.8475762118940523E-2</v>
      </c>
      <c r="H21" s="8"/>
      <c r="J21" s="7">
        <v>20.010000000000002</v>
      </c>
      <c r="K21" s="22">
        <f t="shared" si="2"/>
        <v>4.7476261869065464E-2</v>
      </c>
      <c r="L21" s="8"/>
      <c r="N21" s="7">
        <v>20.010000000000002</v>
      </c>
      <c r="O21" s="22">
        <f t="shared" si="3"/>
        <v>4.6476761619190406E-2</v>
      </c>
      <c r="P21" s="8"/>
    </row>
    <row r="23" spans="2:16" x14ac:dyDescent="0.2">
      <c r="B23" t="s">
        <v>13</v>
      </c>
      <c r="N23" t="s">
        <v>38</v>
      </c>
    </row>
    <row r="24" spans="2:16" x14ac:dyDescent="0.2">
      <c r="B24" t="s">
        <v>14</v>
      </c>
    </row>
    <row r="25" spans="2:16" x14ac:dyDescent="0.2">
      <c r="B25" t="s">
        <v>11</v>
      </c>
    </row>
    <row r="26" spans="2:16" x14ac:dyDescent="0.2">
      <c r="B26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8001-2B30-47BF-9D96-BA0018D08FCF}">
  <sheetPr codeName="Sheet2"/>
  <dimension ref="A1:AD150"/>
  <sheetViews>
    <sheetView tabSelected="1" zoomScale="129" zoomScaleNormal="129" workbookViewId="0">
      <selection activeCell="A9" sqref="A9:XFD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30" ht="16" thickBot="1" x14ac:dyDescent="0.25">
      <c r="B1" s="1" t="s">
        <v>4</v>
      </c>
      <c r="C1" s="2">
        <v>25</v>
      </c>
      <c r="E1" s="19" t="s">
        <v>0</v>
      </c>
      <c r="F1" s="20">
        <v>0.93</v>
      </c>
    </row>
    <row r="2" spans="1:30" ht="16" thickBot="1" x14ac:dyDescent="0.25"/>
    <row r="3" spans="1:30" s="13" customFormat="1" ht="16" thickBot="1" x14ac:dyDescent="0.25">
      <c r="A3" s="3" t="s">
        <v>7</v>
      </c>
      <c r="B3" s="14" t="s">
        <v>2</v>
      </c>
      <c r="C3" s="9" t="s">
        <v>3</v>
      </c>
      <c r="D3" s="55" t="s">
        <v>5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7"/>
    </row>
    <row r="4" spans="1:30" s="13" customFormat="1" ht="16" thickBot="1" x14ac:dyDescent="0.25">
      <c r="A4" s="7"/>
      <c r="B4" s="9">
        <v>1</v>
      </c>
      <c r="C4" s="6">
        <f>$C$1-B4</f>
        <v>24</v>
      </c>
      <c r="D4" s="14">
        <v>1</v>
      </c>
      <c r="E4" s="15">
        <f>D4+1</f>
        <v>2</v>
      </c>
      <c r="F4" s="15">
        <f t="shared" ref="F4:AB4" si="0">E4+1</f>
        <v>3</v>
      </c>
      <c r="G4" s="15">
        <f t="shared" si="0"/>
        <v>4</v>
      </c>
      <c r="H4" s="15">
        <f t="shared" si="0"/>
        <v>5</v>
      </c>
      <c r="I4" s="15">
        <f t="shared" si="0"/>
        <v>6</v>
      </c>
      <c r="J4" s="15">
        <f t="shared" si="0"/>
        <v>7</v>
      </c>
      <c r="K4" s="15">
        <f t="shared" si="0"/>
        <v>8</v>
      </c>
      <c r="L4" s="15">
        <f t="shared" si="0"/>
        <v>9</v>
      </c>
      <c r="M4" s="15">
        <f t="shared" si="0"/>
        <v>10</v>
      </c>
      <c r="N4" s="15">
        <f t="shared" si="0"/>
        <v>11</v>
      </c>
      <c r="O4" s="15">
        <f t="shared" si="0"/>
        <v>12</v>
      </c>
      <c r="P4" s="15">
        <f t="shared" si="0"/>
        <v>13</v>
      </c>
      <c r="Q4" s="15">
        <f t="shared" si="0"/>
        <v>14</v>
      </c>
      <c r="R4" s="15">
        <f t="shared" si="0"/>
        <v>15</v>
      </c>
      <c r="S4" s="15">
        <f t="shared" si="0"/>
        <v>16</v>
      </c>
      <c r="T4" s="15">
        <f t="shared" si="0"/>
        <v>17</v>
      </c>
      <c r="U4" s="15">
        <f t="shared" si="0"/>
        <v>18</v>
      </c>
      <c r="V4" s="15">
        <f t="shared" si="0"/>
        <v>19</v>
      </c>
      <c r="W4" s="15">
        <f t="shared" si="0"/>
        <v>20</v>
      </c>
      <c r="X4" s="15">
        <f t="shared" si="0"/>
        <v>21</v>
      </c>
      <c r="Y4" s="15">
        <f t="shared" si="0"/>
        <v>22</v>
      </c>
      <c r="Z4" s="15">
        <f t="shared" si="0"/>
        <v>23</v>
      </c>
      <c r="AA4" s="15">
        <f t="shared" si="0"/>
        <v>24</v>
      </c>
      <c r="AB4" s="16">
        <f t="shared" si="0"/>
        <v>25</v>
      </c>
    </row>
    <row r="5" spans="1:30" s="13" customFormat="1" x14ac:dyDescent="0.2">
      <c r="C5" s="10" t="s">
        <v>1</v>
      </c>
      <c r="D5" s="52">
        <f>COMBIN($C$4,D4)/COMBIN($C$1,D4)</f>
        <v>0.96</v>
      </c>
      <c r="E5" s="26">
        <f t="shared" ref="E5:H5" si="1">COMBIN($C$4,E4)/COMBIN($C$1,E4)</f>
        <v>0.92</v>
      </c>
      <c r="F5" s="26">
        <f t="shared" si="1"/>
        <v>0.88000000000000012</v>
      </c>
      <c r="G5" s="26">
        <f t="shared" si="1"/>
        <v>0.83999999999999986</v>
      </c>
      <c r="H5" s="26">
        <f t="shared" si="1"/>
        <v>0.79999999999999993</v>
      </c>
      <c r="I5" s="26">
        <f t="shared" ref="I5" si="2">COMBIN($C$4,I4)/COMBIN($C$1,I4)</f>
        <v>0.76000000000000034</v>
      </c>
      <c r="J5" s="26">
        <f t="shared" ref="J5" si="3">COMBIN($C$4,J4)/COMBIN($C$1,J4)</f>
        <v>0.71999999999999986</v>
      </c>
      <c r="K5" s="26">
        <f t="shared" ref="K5:L5" si="4">COMBIN($C$4,K4)/COMBIN($C$1,K4)</f>
        <v>0.68</v>
      </c>
      <c r="L5" s="26">
        <f t="shared" si="4"/>
        <v>0.64</v>
      </c>
      <c r="M5" s="26">
        <f t="shared" ref="M5" si="5">COMBIN($C$4,M4)/COMBIN($C$1,M4)</f>
        <v>0.60000000000000009</v>
      </c>
      <c r="N5" s="26">
        <f t="shared" ref="N5" si="6">COMBIN($C$4,N4)/COMBIN($C$1,N4)</f>
        <v>0.56000000000000005</v>
      </c>
      <c r="O5" s="26">
        <f t="shared" ref="O5:P5" si="7">COMBIN($C$4,O4)/COMBIN($C$1,O4)</f>
        <v>0.52000000000000013</v>
      </c>
      <c r="P5" s="26">
        <f t="shared" si="7"/>
        <v>0.48</v>
      </c>
      <c r="Q5" s="26">
        <f t="shared" ref="Q5" si="8">COMBIN($C$4,Q4)/COMBIN($C$1,Q4)</f>
        <v>0.44</v>
      </c>
      <c r="R5" s="26">
        <f t="shared" ref="R5" si="9">COMBIN($C$4,R4)/COMBIN($C$1,R4)</f>
        <v>0.40000000000000008</v>
      </c>
      <c r="S5" s="26">
        <f t="shared" ref="S5:T5" si="10">COMBIN($C$4,S4)/COMBIN($C$1,S4)</f>
        <v>0.36</v>
      </c>
      <c r="T5" s="26">
        <f t="shared" si="10"/>
        <v>0.32</v>
      </c>
      <c r="U5" s="26">
        <f t="shared" ref="U5" si="11">COMBIN($C$4,U4)/COMBIN($C$1,U4)</f>
        <v>0.27999999999999997</v>
      </c>
      <c r="V5" s="26">
        <f t="shared" ref="V5" si="12">COMBIN($C$4,V4)/COMBIN($C$1,V4)</f>
        <v>0.24</v>
      </c>
      <c r="W5" s="26">
        <f t="shared" ref="W5:X5" si="13">COMBIN($C$4,W4)/COMBIN($C$1,W4)</f>
        <v>0.20000000000000004</v>
      </c>
      <c r="X5" s="26">
        <f t="shared" si="13"/>
        <v>0.16</v>
      </c>
      <c r="Y5" s="26">
        <f t="shared" ref="Y5" si="14">COMBIN($C$4,Y4)/COMBIN($C$1,Y4)</f>
        <v>0.12</v>
      </c>
      <c r="Z5" s="26">
        <f t="shared" ref="Z5" si="15">COMBIN($C$4,Z4)/COMBIN($C$1,Z4)</f>
        <v>0.08</v>
      </c>
      <c r="AA5" s="26">
        <f t="shared" ref="AA5" si="16">COMBIN($C$4,AA4)/COMBIN($C$1,AA4)</f>
        <v>0.04</v>
      </c>
      <c r="AB5" s="4"/>
      <c r="AD5" s="13">
        <f>1/AA5</f>
        <v>25</v>
      </c>
    </row>
    <row r="6" spans="1:30" s="13" customFormat="1" x14ac:dyDescent="0.2">
      <c r="C6" s="11" t="s">
        <v>6</v>
      </c>
      <c r="D6" s="38">
        <f>1/D5</f>
        <v>1.0416666666666667</v>
      </c>
      <c r="E6" s="27">
        <f t="shared" ref="E6:AA6" si="17">1/E5</f>
        <v>1.0869565217391304</v>
      </c>
      <c r="F6" s="27">
        <f t="shared" si="17"/>
        <v>1.1363636363636362</v>
      </c>
      <c r="G6" s="27">
        <f t="shared" si="17"/>
        <v>1.1904761904761907</v>
      </c>
      <c r="H6" s="27">
        <f t="shared" si="17"/>
        <v>1.25</v>
      </c>
      <c r="I6" s="27">
        <f t="shared" si="17"/>
        <v>1.31578947368421</v>
      </c>
      <c r="J6" s="27">
        <f t="shared" si="17"/>
        <v>1.3888888888888891</v>
      </c>
      <c r="K6" s="27">
        <f t="shared" si="17"/>
        <v>1.4705882352941175</v>
      </c>
      <c r="L6" s="27">
        <f t="shared" si="17"/>
        <v>1.5625</v>
      </c>
      <c r="M6" s="27">
        <f t="shared" si="17"/>
        <v>1.6666666666666665</v>
      </c>
      <c r="N6" s="27">
        <f t="shared" si="17"/>
        <v>1.7857142857142856</v>
      </c>
      <c r="O6" s="27">
        <f t="shared" si="17"/>
        <v>1.9230769230769227</v>
      </c>
      <c r="P6" s="27">
        <f t="shared" si="17"/>
        <v>2.0833333333333335</v>
      </c>
      <c r="Q6" s="27">
        <f t="shared" si="17"/>
        <v>2.2727272727272729</v>
      </c>
      <c r="R6" s="27">
        <f t="shared" si="17"/>
        <v>2.4999999999999996</v>
      </c>
      <c r="S6" s="27">
        <f t="shared" si="17"/>
        <v>2.7777777777777777</v>
      </c>
      <c r="T6" s="27">
        <f t="shared" si="17"/>
        <v>3.125</v>
      </c>
      <c r="U6" s="27">
        <f t="shared" si="17"/>
        <v>3.5714285714285716</v>
      </c>
      <c r="V6" s="27">
        <f t="shared" si="17"/>
        <v>4.166666666666667</v>
      </c>
      <c r="W6" s="27">
        <f t="shared" si="17"/>
        <v>4.9999999999999991</v>
      </c>
      <c r="X6" s="27">
        <f t="shared" si="17"/>
        <v>6.25</v>
      </c>
      <c r="Y6" s="27">
        <f t="shared" si="17"/>
        <v>8.3333333333333339</v>
      </c>
      <c r="Z6" s="27">
        <f t="shared" si="17"/>
        <v>12.5</v>
      </c>
      <c r="AA6" s="27">
        <f t="shared" si="17"/>
        <v>25</v>
      </c>
      <c r="AB6" s="6"/>
    </row>
    <row r="7" spans="1:30" s="13" customFormat="1" ht="16" thickBot="1" x14ac:dyDescent="0.25">
      <c r="C7" s="12" t="s">
        <v>8</v>
      </c>
      <c r="D7" s="35">
        <f>$F$1*D6</f>
        <v>0.96875000000000011</v>
      </c>
      <c r="E7" s="28">
        <f t="shared" ref="E7:AA7" si="18">$F$1*E6</f>
        <v>1.0108695652173914</v>
      </c>
      <c r="F7" s="28">
        <f t="shared" si="18"/>
        <v>1.0568181818181817</v>
      </c>
      <c r="G7" s="28">
        <f t="shared" si="18"/>
        <v>1.1071428571428574</v>
      </c>
      <c r="H7" s="28">
        <f t="shared" si="18"/>
        <v>1.1625000000000001</v>
      </c>
      <c r="I7" s="28">
        <f t="shared" si="18"/>
        <v>1.2236842105263153</v>
      </c>
      <c r="J7" s="28">
        <f t="shared" si="18"/>
        <v>1.291666666666667</v>
      </c>
      <c r="K7" s="28">
        <f t="shared" si="18"/>
        <v>1.3676470588235294</v>
      </c>
      <c r="L7" s="28">
        <f t="shared" si="18"/>
        <v>1.453125</v>
      </c>
      <c r="M7" s="28">
        <f t="shared" si="18"/>
        <v>1.55</v>
      </c>
      <c r="N7" s="28">
        <f t="shared" si="18"/>
        <v>1.6607142857142856</v>
      </c>
      <c r="O7" s="28">
        <f t="shared" si="18"/>
        <v>1.7884615384615381</v>
      </c>
      <c r="P7" s="28">
        <f t="shared" si="18"/>
        <v>1.9375000000000002</v>
      </c>
      <c r="Q7" s="28">
        <f t="shared" si="18"/>
        <v>2.1136363636363638</v>
      </c>
      <c r="R7" s="28">
        <f t="shared" si="18"/>
        <v>2.3249999999999997</v>
      </c>
      <c r="S7" s="28">
        <f t="shared" si="18"/>
        <v>2.5833333333333335</v>
      </c>
      <c r="T7" s="28">
        <f t="shared" si="18"/>
        <v>2.90625</v>
      </c>
      <c r="U7" s="28">
        <f t="shared" si="18"/>
        <v>3.3214285714285716</v>
      </c>
      <c r="V7" s="28">
        <f t="shared" si="18"/>
        <v>3.8750000000000004</v>
      </c>
      <c r="W7" s="28">
        <f t="shared" si="18"/>
        <v>4.6499999999999995</v>
      </c>
      <c r="X7" s="28">
        <f t="shared" si="18"/>
        <v>5.8125</v>
      </c>
      <c r="Y7" s="28">
        <f t="shared" si="18"/>
        <v>7.7500000000000009</v>
      </c>
      <c r="Z7" s="28">
        <f t="shared" si="18"/>
        <v>11.625</v>
      </c>
      <c r="AA7" s="28">
        <f t="shared" si="18"/>
        <v>23.25</v>
      </c>
      <c r="AB7" s="8"/>
    </row>
    <row r="8" spans="1:30" ht="16" thickBot="1" x14ac:dyDescent="0.25"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30" s="13" customFormat="1" ht="16" thickBot="1" x14ac:dyDescent="0.25">
      <c r="A9" s="3" t="s">
        <v>15</v>
      </c>
      <c r="B9" s="14" t="s">
        <v>2</v>
      </c>
      <c r="C9" s="9" t="s">
        <v>3</v>
      </c>
      <c r="D9" s="58" t="s">
        <v>5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  <c r="AB9"/>
    </row>
    <row r="10" spans="1:30" s="13" customFormat="1" ht="16" thickBot="1" x14ac:dyDescent="0.25">
      <c r="A10" s="7"/>
      <c r="B10" s="9">
        <v>2</v>
      </c>
      <c r="C10" s="6">
        <f>$C$1-B10</f>
        <v>23</v>
      </c>
      <c r="D10" s="45">
        <v>1</v>
      </c>
      <c r="E10" s="46">
        <f>D10+1</f>
        <v>2</v>
      </c>
      <c r="F10" s="46">
        <f t="shared" ref="F10:AA10" si="19">E10+1</f>
        <v>3</v>
      </c>
      <c r="G10" s="46">
        <f t="shared" si="19"/>
        <v>4</v>
      </c>
      <c r="H10" s="46">
        <f t="shared" si="19"/>
        <v>5</v>
      </c>
      <c r="I10" s="46">
        <f t="shared" si="19"/>
        <v>6</v>
      </c>
      <c r="J10" s="46">
        <f t="shared" si="19"/>
        <v>7</v>
      </c>
      <c r="K10" s="46">
        <f t="shared" si="19"/>
        <v>8</v>
      </c>
      <c r="L10" s="46">
        <f t="shared" si="19"/>
        <v>9</v>
      </c>
      <c r="M10" s="46">
        <f t="shared" si="19"/>
        <v>10</v>
      </c>
      <c r="N10" s="46">
        <f t="shared" si="19"/>
        <v>11</v>
      </c>
      <c r="O10" s="46">
        <f t="shared" si="19"/>
        <v>12</v>
      </c>
      <c r="P10" s="46">
        <f t="shared" si="19"/>
        <v>13</v>
      </c>
      <c r="Q10" s="46">
        <f t="shared" si="19"/>
        <v>14</v>
      </c>
      <c r="R10" s="46">
        <f t="shared" si="19"/>
        <v>15</v>
      </c>
      <c r="S10" s="46">
        <f t="shared" si="19"/>
        <v>16</v>
      </c>
      <c r="T10" s="46">
        <f t="shared" si="19"/>
        <v>17</v>
      </c>
      <c r="U10" s="46">
        <f t="shared" si="19"/>
        <v>18</v>
      </c>
      <c r="V10" s="46">
        <f t="shared" si="19"/>
        <v>19</v>
      </c>
      <c r="W10" s="46">
        <f t="shared" si="19"/>
        <v>20</v>
      </c>
      <c r="X10" s="46">
        <f t="shared" si="19"/>
        <v>21</v>
      </c>
      <c r="Y10" s="46">
        <f t="shared" si="19"/>
        <v>22</v>
      </c>
      <c r="Z10" s="46">
        <f t="shared" si="19"/>
        <v>23</v>
      </c>
      <c r="AA10" s="47">
        <f t="shared" si="19"/>
        <v>24</v>
      </c>
      <c r="AB10"/>
    </row>
    <row r="11" spans="1:30" s="13" customFormat="1" x14ac:dyDescent="0.2">
      <c r="C11" s="10" t="s">
        <v>1</v>
      </c>
      <c r="D11" s="52">
        <f>COMBIN($C$10,D10)/COMBIN($C$1,D10)</f>
        <v>0.92</v>
      </c>
      <c r="E11" s="26">
        <f>COMBIN($C$10,E10)/COMBIN($C$1,E10)</f>
        <v>0.84333333333333338</v>
      </c>
      <c r="F11" s="26">
        <f>COMBIN($C$10,F10)/COMBIN($C$1,F10)</f>
        <v>0.77</v>
      </c>
      <c r="G11" s="26">
        <f>COMBIN($C$10,G10)/COMBIN($C$1,G10)</f>
        <v>0.69999999999999984</v>
      </c>
      <c r="H11" s="26">
        <f>COMBIN($C$10,H10)/COMBIN($C$1,H10)</f>
        <v>0.63333333333333353</v>
      </c>
      <c r="I11" s="26">
        <f>COMBIN($C$10,I10)/COMBIN($C$1,I10)</f>
        <v>0.57000000000000006</v>
      </c>
      <c r="J11" s="26">
        <f>COMBIN($C$10,J10)/COMBIN($C$1,J10)</f>
        <v>0.5099999999999999</v>
      </c>
      <c r="K11" s="26">
        <f>COMBIN($C$10,K10)/COMBIN($C$1,K10)</f>
        <v>0.45333333333333331</v>
      </c>
      <c r="L11" s="26">
        <f>COMBIN($C$10,L10)/COMBIN($C$1,L10)</f>
        <v>0.4</v>
      </c>
      <c r="M11" s="26">
        <f>COMBIN($C$10,M10)/COMBIN($C$1,M10)</f>
        <v>0.35000000000000014</v>
      </c>
      <c r="N11" s="26">
        <f>COMBIN($C$10,N10)/COMBIN($C$1,N10)</f>
        <v>0.3033333333333334</v>
      </c>
      <c r="O11" s="26">
        <f>COMBIN($C$10,O10)/COMBIN($C$1,O10)</f>
        <v>0.26</v>
      </c>
      <c r="P11" s="26">
        <f>COMBIN($C$10,P10)/COMBIN($C$1,P10)</f>
        <v>0.22</v>
      </c>
      <c r="Q11" s="26">
        <f>COMBIN($C$10,Q10)/COMBIN($C$1,Q10)</f>
        <v>0.18333333333333332</v>
      </c>
      <c r="R11" s="26">
        <f>COMBIN($C$10,R10)/COMBIN($C$1,R10)</f>
        <v>0.15000000000000002</v>
      </c>
      <c r="S11" s="26">
        <f>COMBIN($C$10,S10)/COMBIN($C$1,S10)</f>
        <v>0.12</v>
      </c>
      <c r="T11" s="26">
        <f>COMBIN($C$10,T10)/COMBIN($C$1,T10)</f>
        <v>9.3333333333333338E-2</v>
      </c>
      <c r="U11" s="26">
        <f>COMBIN($C$10,U10)/COMBIN($C$1,U10)</f>
        <v>6.9999999999999993E-2</v>
      </c>
      <c r="V11" s="26">
        <f>COMBIN($C$10,V10)/COMBIN($C$1,V10)</f>
        <v>5.000000000000001E-2</v>
      </c>
      <c r="W11" s="26">
        <f>COMBIN($C$10,W10)/COMBIN($C$1,W10)</f>
        <v>3.333333333333334E-2</v>
      </c>
      <c r="X11" s="26">
        <f>COMBIN($C$10,X10)/COMBIN($C$1,X10)</f>
        <v>1.9999999999999997E-2</v>
      </c>
      <c r="Y11" s="26">
        <f>COMBIN($C$10,Y10)/COMBIN($C$1,Y10)</f>
        <v>0.01</v>
      </c>
      <c r="Z11" s="26">
        <f>COMBIN($C$10,Z10)/COMBIN($C$1,Z10)</f>
        <v>3.3333333333333335E-3</v>
      </c>
      <c r="AA11" s="44"/>
      <c r="AB11"/>
      <c r="AC11" s="13">
        <f>1/Z11</f>
        <v>300</v>
      </c>
    </row>
    <row r="12" spans="1:30" s="13" customFormat="1" x14ac:dyDescent="0.2">
      <c r="C12" s="11" t="s">
        <v>6</v>
      </c>
      <c r="D12" s="38">
        <f>1/D11</f>
        <v>1.0869565217391304</v>
      </c>
      <c r="E12" s="27">
        <f t="shared" ref="E12" si="20">1/E11</f>
        <v>1.1857707509881423</v>
      </c>
      <c r="F12" s="27">
        <f t="shared" ref="F12" si="21">1/F11</f>
        <v>1.2987012987012987</v>
      </c>
      <c r="G12" s="27">
        <f t="shared" ref="G12" si="22">1/G11</f>
        <v>1.4285714285714288</v>
      </c>
      <c r="H12" s="27">
        <f t="shared" ref="H12" si="23">1/H11</f>
        <v>1.5789473684210522</v>
      </c>
      <c r="I12" s="27">
        <f t="shared" ref="I12" si="24">1/I11</f>
        <v>1.7543859649122806</v>
      </c>
      <c r="J12" s="27">
        <f t="shared" ref="J12" si="25">1/J11</f>
        <v>1.9607843137254906</v>
      </c>
      <c r="K12" s="27">
        <f t="shared" ref="K12" si="26">1/K11</f>
        <v>2.2058823529411766</v>
      </c>
      <c r="L12" s="27">
        <f t="shared" ref="L12" si="27">1/L11</f>
        <v>2.5</v>
      </c>
      <c r="M12" s="27">
        <f t="shared" ref="M12" si="28">1/M11</f>
        <v>2.8571428571428559</v>
      </c>
      <c r="N12" s="27">
        <f t="shared" ref="N12" si="29">1/N11</f>
        <v>3.2967032967032961</v>
      </c>
      <c r="O12" s="27">
        <f t="shared" ref="O12" si="30">1/O11</f>
        <v>3.8461538461538458</v>
      </c>
      <c r="P12" s="27">
        <f t="shared" ref="P12" si="31">1/P11</f>
        <v>4.5454545454545459</v>
      </c>
      <c r="Q12" s="27">
        <f t="shared" ref="Q12" si="32">1/Q11</f>
        <v>5.454545454545455</v>
      </c>
      <c r="R12" s="27">
        <f t="shared" ref="R12" si="33">1/R11</f>
        <v>6.6666666666666661</v>
      </c>
      <c r="S12" s="27">
        <f t="shared" ref="S12" si="34">1/S11</f>
        <v>8.3333333333333339</v>
      </c>
      <c r="T12" s="27">
        <f t="shared" ref="T12" si="35">1/T11</f>
        <v>10.714285714285714</v>
      </c>
      <c r="U12" s="27">
        <f t="shared" ref="U12" si="36">1/U11</f>
        <v>14.285714285714286</v>
      </c>
      <c r="V12" s="27">
        <f t="shared" ref="V12" si="37">1/V11</f>
        <v>19.999999999999996</v>
      </c>
      <c r="W12" s="27">
        <f t="shared" ref="W12" si="38">1/W11</f>
        <v>29.999999999999993</v>
      </c>
      <c r="X12" s="27">
        <f t="shared" ref="X12" si="39">1/X11</f>
        <v>50.000000000000007</v>
      </c>
      <c r="Y12" s="27">
        <f t="shared" ref="Y12" si="40">1/Y11</f>
        <v>100</v>
      </c>
      <c r="Z12" s="27">
        <f t="shared" ref="Z12" si="41">1/Z11</f>
        <v>300</v>
      </c>
      <c r="AA12" s="42"/>
      <c r="AB12"/>
    </row>
    <row r="13" spans="1:30" s="13" customFormat="1" ht="16" thickBot="1" x14ac:dyDescent="0.25">
      <c r="C13" s="12" t="s">
        <v>8</v>
      </c>
      <c r="D13" s="32">
        <f>$F$1*D12</f>
        <v>1.0108695652173914</v>
      </c>
      <c r="E13" s="31">
        <f t="shared" ref="E13" si="42">$F$1*E12</f>
        <v>1.1027667984189724</v>
      </c>
      <c r="F13" s="31">
        <f t="shared" ref="F13" si="43">$F$1*F12</f>
        <v>1.2077922077922079</v>
      </c>
      <c r="G13" s="31">
        <f t="shared" ref="G13" si="44">$F$1*G12</f>
        <v>1.328571428571429</v>
      </c>
      <c r="H13" s="31">
        <f t="shared" ref="H13" si="45">$F$1*H12</f>
        <v>1.4684210526315786</v>
      </c>
      <c r="I13" s="31">
        <f t="shared" ref="I13" si="46">$F$1*I12</f>
        <v>1.631578947368421</v>
      </c>
      <c r="J13" s="31">
        <f t="shared" ref="J13" si="47">$F$1*J12</f>
        <v>1.8235294117647063</v>
      </c>
      <c r="K13" s="31">
        <f t="shared" ref="K13" si="48">$F$1*K12</f>
        <v>2.0514705882352944</v>
      </c>
      <c r="L13" s="31">
        <f t="shared" ref="L13" si="49">$F$1*L12</f>
        <v>2.3250000000000002</v>
      </c>
      <c r="M13" s="31">
        <f t="shared" ref="M13" si="50">$F$1*M12</f>
        <v>2.6571428571428561</v>
      </c>
      <c r="N13" s="31">
        <f t="shared" ref="N13" si="51">$F$1*N12</f>
        <v>3.0659340659340657</v>
      </c>
      <c r="O13" s="31">
        <f t="shared" ref="O13" si="52">$F$1*O12</f>
        <v>3.5769230769230766</v>
      </c>
      <c r="P13" s="31">
        <f t="shared" ref="P13" si="53">$F$1*P12</f>
        <v>4.2272727272727275</v>
      </c>
      <c r="Q13" s="31">
        <f t="shared" ref="Q13" si="54">$F$1*Q12</f>
        <v>5.0727272727272732</v>
      </c>
      <c r="R13" s="31">
        <f t="shared" ref="R13" si="55">$F$1*R12</f>
        <v>6.2</v>
      </c>
      <c r="S13" s="31">
        <f t="shared" ref="S13" si="56">$F$1*S12</f>
        <v>7.7500000000000009</v>
      </c>
      <c r="T13" s="31">
        <f t="shared" ref="T13" si="57">$F$1*T12</f>
        <v>9.9642857142857135</v>
      </c>
      <c r="U13" s="31">
        <f t="shared" ref="U13" si="58">$F$1*U12</f>
        <v>13.285714285714286</v>
      </c>
      <c r="V13" s="31">
        <f t="shared" ref="V13" si="59">$F$1*V12</f>
        <v>18.599999999999998</v>
      </c>
      <c r="W13" s="31">
        <f t="shared" ref="W13" si="60">$F$1*W12</f>
        <v>27.899999999999995</v>
      </c>
      <c r="X13" s="31">
        <f t="shared" ref="X13" si="61">$F$1*X12</f>
        <v>46.500000000000007</v>
      </c>
      <c r="Y13" s="31">
        <f t="shared" ref="Y13" si="62">$F$1*Y12</f>
        <v>93</v>
      </c>
      <c r="Z13" s="31">
        <f t="shared" ref="Z13" si="63">$F$1*Z12</f>
        <v>279</v>
      </c>
      <c r="AA13" s="43"/>
      <c r="AB13"/>
    </row>
    <row r="14" spans="1:30" ht="16" thickBot="1" x14ac:dyDescent="0.25"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30" s="13" customFormat="1" ht="16" thickBot="1" x14ac:dyDescent="0.25">
      <c r="A15" s="3" t="s">
        <v>16</v>
      </c>
      <c r="B15" s="14" t="s">
        <v>2</v>
      </c>
      <c r="C15" s="9" t="s">
        <v>3</v>
      </c>
      <c r="D15" s="58" t="s">
        <v>5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A15" s="41"/>
      <c r="AB15"/>
    </row>
    <row r="16" spans="1:30" s="13" customFormat="1" ht="16" thickBot="1" x14ac:dyDescent="0.25">
      <c r="A16" s="7"/>
      <c r="B16" s="9">
        <v>3</v>
      </c>
      <c r="C16" s="6">
        <f>$C$1-B16</f>
        <v>22</v>
      </c>
      <c r="D16" s="45">
        <v>1</v>
      </c>
      <c r="E16" s="46">
        <f>D16+1</f>
        <v>2</v>
      </c>
      <c r="F16" s="46">
        <f t="shared" ref="F16:Z16" si="64">E16+1</f>
        <v>3</v>
      </c>
      <c r="G16" s="46">
        <f t="shared" si="64"/>
        <v>4</v>
      </c>
      <c r="H16" s="46">
        <f t="shared" si="64"/>
        <v>5</v>
      </c>
      <c r="I16" s="46">
        <f t="shared" si="64"/>
        <v>6</v>
      </c>
      <c r="J16" s="46">
        <f t="shared" si="64"/>
        <v>7</v>
      </c>
      <c r="K16" s="46">
        <f t="shared" si="64"/>
        <v>8</v>
      </c>
      <c r="L16" s="46">
        <f t="shared" si="64"/>
        <v>9</v>
      </c>
      <c r="M16" s="46">
        <f t="shared" si="64"/>
        <v>10</v>
      </c>
      <c r="N16" s="46">
        <f t="shared" si="64"/>
        <v>11</v>
      </c>
      <c r="O16" s="46">
        <f t="shared" si="64"/>
        <v>12</v>
      </c>
      <c r="P16" s="46">
        <f t="shared" si="64"/>
        <v>13</v>
      </c>
      <c r="Q16" s="46">
        <f t="shared" si="64"/>
        <v>14</v>
      </c>
      <c r="R16" s="46">
        <f t="shared" si="64"/>
        <v>15</v>
      </c>
      <c r="S16" s="46">
        <f t="shared" si="64"/>
        <v>16</v>
      </c>
      <c r="T16" s="46">
        <f t="shared" si="64"/>
        <v>17</v>
      </c>
      <c r="U16" s="46">
        <f t="shared" si="64"/>
        <v>18</v>
      </c>
      <c r="V16" s="46">
        <f t="shared" si="64"/>
        <v>19</v>
      </c>
      <c r="W16" s="46">
        <f t="shared" si="64"/>
        <v>20</v>
      </c>
      <c r="X16" s="46">
        <f t="shared" si="64"/>
        <v>21</v>
      </c>
      <c r="Y16" s="46">
        <f t="shared" si="64"/>
        <v>22</v>
      </c>
      <c r="Z16" s="47">
        <f t="shared" si="64"/>
        <v>23</v>
      </c>
      <c r="AA16" s="41"/>
      <c r="AB16"/>
    </row>
    <row r="17" spans="1:28" s="13" customFormat="1" x14ac:dyDescent="0.2">
      <c r="C17" s="10" t="s">
        <v>1</v>
      </c>
      <c r="D17" s="52">
        <f>COMBIN($C$16,D16)/COMBIN($C$1,D16)</f>
        <v>0.88</v>
      </c>
      <c r="E17" s="26">
        <f>COMBIN($C$16,E16)/COMBIN($C$1,E16)</f>
        <v>0.77</v>
      </c>
      <c r="F17" s="26">
        <f>COMBIN($C$16,F16)/COMBIN($C$1,F16)</f>
        <v>0.66956521739130437</v>
      </c>
      <c r="G17" s="26">
        <f>COMBIN($C$16,G16)/COMBIN($C$1,G16)</f>
        <v>0.57826086956521727</v>
      </c>
      <c r="H17" s="26">
        <f>COMBIN($C$16,H16)/COMBIN($C$1,H16)</f>
        <v>0.49565217391304356</v>
      </c>
      <c r="I17" s="26">
        <f>COMBIN($C$16,I16)/COMBIN($C$1,I16)</f>
        <v>0.421304347826087</v>
      </c>
      <c r="J17" s="26">
        <f>COMBIN($C$16,J16)/COMBIN($C$1,J16)</f>
        <v>0.35478260869565209</v>
      </c>
      <c r="K17" s="26">
        <f>COMBIN($C$16,K16)/COMBIN($C$1,K16)</f>
        <v>0.29565217391304349</v>
      </c>
      <c r="L17" s="26">
        <f>COMBIN($C$16,L16)/COMBIN($C$1,L16)</f>
        <v>0.24347826086956523</v>
      </c>
      <c r="M17" s="26">
        <f>COMBIN($C$16,M16)/COMBIN($C$1,M16)</f>
        <v>0.19782608695652179</v>
      </c>
      <c r="N17" s="26">
        <f>COMBIN($C$16,N16)/COMBIN($C$1,N16)</f>
        <v>0.1582608695652174</v>
      </c>
      <c r="O17" s="26">
        <f>COMBIN($C$16,O16)/COMBIN($C$1,O16)</f>
        <v>0.12434782608695652</v>
      </c>
      <c r="P17" s="26">
        <f>COMBIN($C$16,P16)/COMBIN($C$1,P16)</f>
        <v>9.5652173913043467E-2</v>
      </c>
      <c r="Q17" s="26">
        <f>COMBIN($C$16,Q16)/COMBIN($C$1,Q16)</f>
        <v>7.1739130434782611E-2</v>
      </c>
      <c r="R17" s="26">
        <f>COMBIN($C$16,R16)/COMBIN($C$1,R16)</f>
        <v>5.2173913043478265E-2</v>
      </c>
      <c r="S17" s="26">
        <f>COMBIN($C$16,S16)/COMBIN($C$1,S16)</f>
        <v>3.6521739130434785E-2</v>
      </c>
      <c r="T17" s="26">
        <f>COMBIN($C$16,T16)/COMBIN($C$1,T16)</f>
        <v>2.4347826086956521E-2</v>
      </c>
      <c r="U17" s="26">
        <f>COMBIN($C$16,U16)/COMBIN($C$1,U16)</f>
        <v>1.5217391304347823E-2</v>
      </c>
      <c r="V17" s="26">
        <f>COMBIN($C$16,V16)/COMBIN($C$1,V16)</f>
        <v>8.6956521739130453E-3</v>
      </c>
      <c r="W17" s="26">
        <f>COMBIN($C$16,W16)/COMBIN($C$1,W16)</f>
        <v>4.3478260869565227E-3</v>
      </c>
      <c r="X17" s="26">
        <f>COMBIN($C$16,X16)/COMBIN($C$1,X16)</f>
        <v>1.7391304347826085E-3</v>
      </c>
      <c r="Y17" s="26">
        <f>COMBIN($C$16,Y16)/COMBIN($C$1,Y16)</f>
        <v>4.3478260869565219E-4</v>
      </c>
      <c r="Z17" s="44"/>
      <c r="AA17" s="41"/>
      <c r="AB17"/>
    </row>
    <row r="18" spans="1:28" s="13" customFormat="1" x14ac:dyDescent="0.2">
      <c r="C18" s="11" t="s">
        <v>6</v>
      </c>
      <c r="D18" s="38">
        <f>1/D17</f>
        <v>1.1363636363636365</v>
      </c>
      <c r="E18" s="27">
        <f t="shared" ref="E18" si="65">1/E17</f>
        <v>1.2987012987012987</v>
      </c>
      <c r="F18" s="27">
        <f t="shared" ref="F18" si="66">1/F17</f>
        <v>1.4935064935064934</v>
      </c>
      <c r="G18" s="27">
        <f t="shared" ref="G18" si="67">1/G17</f>
        <v>1.7293233082706772</v>
      </c>
      <c r="H18" s="27">
        <f t="shared" ref="H18" si="68">1/H17</f>
        <v>2.0175438596491224</v>
      </c>
      <c r="I18" s="27">
        <f t="shared" ref="I18" si="69">1/I17</f>
        <v>2.3735810113519089</v>
      </c>
      <c r="J18" s="27">
        <f t="shared" ref="J18" si="70">1/J17</f>
        <v>2.8186274509803928</v>
      </c>
      <c r="K18" s="27">
        <f t="shared" ref="K18" si="71">1/K17</f>
        <v>3.3823529411764706</v>
      </c>
      <c r="L18" s="27">
        <f t="shared" ref="L18" si="72">1/L17</f>
        <v>4.1071428571428568</v>
      </c>
      <c r="M18" s="27">
        <f t="shared" ref="M18" si="73">1/M17</f>
        <v>5.0549450549450539</v>
      </c>
      <c r="N18" s="27">
        <f t="shared" ref="N18" si="74">1/N17</f>
        <v>6.3186813186813184</v>
      </c>
      <c r="O18" s="27">
        <f t="shared" ref="O18" si="75">1/O17</f>
        <v>8.0419580419580416</v>
      </c>
      <c r="P18" s="27">
        <f t="shared" ref="P18" si="76">1/P17</f>
        <v>10.454545454545455</v>
      </c>
      <c r="Q18" s="27">
        <f t="shared" ref="Q18" si="77">1/Q17</f>
        <v>13.939393939393939</v>
      </c>
      <c r="R18" s="27">
        <f t="shared" ref="R18" si="78">1/R17</f>
        <v>19.166666666666664</v>
      </c>
      <c r="S18" s="27">
        <f t="shared" ref="S18" si="79">1/S17</f>
        <v>27.38095238095238</v>
      </c>
      <c r="T18" s="27">
        <f t="shared" ref="T18" si="80">1/T17</f>
        <v>41.071428571428569</v>
      </c>
      <c r="U18" s="27">
        <f t="shared" ref="U18" si="81">1/U17</f>
        <v>65.714285714285722</v>
      </c>
      <c r="V18" s="27">
        <f t="shared" ref="V18" si="82">1/V17</f>
        <v>114.99999999999997</v>
      </c>
      <c r="W18" s="27">
        <f t="shared" ref="W18" si="83">1/W17</f>
        <v>229.99999999999994</v>
      </c>
      <c r="X18" s="27">
        <f t="shared" ref="X18" si="84">1/X17</f>
        <v>575</v>
      </c>
      <c r="Y18" s="27">
        <f t="shared" ref="Y18" si="85">1/Y17</f>
        <v>2300</v>
      </c>
      <c r="Z18" s="42"/>
      <c r="AA18" s="41"/>
      <c r="AB18"/>
    </row>
    <row r="19" spans="1:28" s="13" customFormat="1" ht="16" thickBot="1" x14ac:dyDescent="0.25">
      <c r="C19" s="12" t="s">
        <v>8</v>
      </c>
      <c r="D19" s="32">
        <f>$F$1*D18</f>
        <v>1.0568181818181819</v>
      </c>
      <c r="E19" s="31">
        <f t="shared" ref="E19" si="86">$F$1*E18</f>
        <v>1.2077922077922079</v>
      </c>
      <c r="F19" s="31">
        <f t="shared" ref="F19" si="87">$F$1*F18</f>
        <v>1.388961038961039</v>
      </c>
      <c r="G19" s="31">
        <f t="shared" ref="G19" si="88">$F$1*G18</f>
        <v>1.6082706766917299</v>
      </c>
      <c r="H19" s="31">
        <f t="shared" ref="H19" si="89">$F$1*H18</f>
        <v>1.8763157894736839</v>
      </c>
      <c r="I19" s="31">
        <f t="shared" ref="I19" si="90">$F$1*I18</f>
        <v>2.2074303405572753</v>
      </c>
      <c r="J19" s="31">
        <f t="shared" ref="J19" si="91">$F$1*J18</f>
        <v>2.6213235294117654</v>
      </c>
      <c r="K19" s="31">
        <f t="shared" ref="K19" si="92">$F$1*K18</f>
        <v>3.1455882352941176</v>
      </c>
      <c r="L19" s="31">
        <f t="shared" ref="L19" si="93">$F$1*L18</f>
        <v>3.8196428571428571</v>
      </c>
      <c r="M19" s="31">
        <f t="shared" ref="M19" si="94">$F$1*M18</f>
        <v>4.7010989010989004</v>
      </c>
      <c r="N19" s="31">
        <f t="shared" ref="N19" si="95">$F$1*N18</f>
        <v>5.8763736263736268</v>
      </c>
      <c r="O19" s="31">
        <f t="shared" ref="O19" si="96">$F$1*O18</f>
        <v>7.4790209790209792</v>
      </c>
      <c r="P19" s="31">
        <f t="shared" ref="P19" si="97">$F$1*P18</f>
        <v>9.7227272727272744</v>
      </c>
      <c r="Q19" s="31">
        <f t="shared" ref="Q19" si="98">$F$1*Q18</f>
        <v>12.963636363636365</v>
      </c>
      <c r="R19" s="31">
        <f t="shared" ref="R19" si="99">$F$1*R18</f>
        <v>17.824999999999999</v>
      </c>
      <c r="S19" s="31">
        <f t="shared" ref="S19" si="100">$F$1*S18</f>
        <v>25.464285714285715</v>
      </c>
      <c r="T19" s="31">
        <f t="shared" ref="T19" si="101">$F$1*T18</f>
        <v>38.196428571428569</v>
      </c>
      <c r="U19" s="31">
        <f t="shared" ref="U19" si="102">$F$1*U18</f>
        <v>61.114285714285728</v>
      </c>
      <c r="V19" s="31">
        <f t="shared" ref="V19" si="103">$F$1*V18</f>
        <v>106.94999999999997</v>
      </c>
      <c r="W19" s="31">
        <f t="shared" ref="W19" si="104">$F$1*W18</f>
        <v>213.89999999999995</v>
      </c>
      <c r="X19" s="31">
        <f t="shared" ref="X19" si="105">$F$1*X18</f>
        <v>534.75</v>
      </c>
      <c r="Y19" s="31">
        <f t="shared" ref="Y19" si="106">$F$1*Y18</f>
        <v>2139</v>
      </c>
      <c r="Z19" s="43"/>
      <c r="AA19" s="41"/>
      <c r="AB19"/>
    </row>
    <row r="20" spans="1:28" ht="16" thickBot="1" x14ac:dyDescent="0.25"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8" s="13" customFormat="1" ht="16" thickBot="1" x14ac:dyDescent="0.25">
      <c r="A21" s="3" t="s">
        <v>17</v>
      </c>
      <c r="B21" s="14" t="s">
        <v>2</v>
      </c>
      <c r="C21" s="9" t="s">
        <v>3</v>
      </c>
      <c r="D21" s="58" t="s">
        <v>5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60"/>
      <c r="Z21" s="41"/>
      <c r="AA21" s="41"/>
      <c r="AB21"/>
    </row>
    <row r="22" spans="1:28" s="13" customFormat="1" ht="16" thickBot="1" x14ac:dyDescent="0.25">
      <c r="A22" s="7"/>
      <c r="B22" s="9">
        <v>4</v>
      </c>
      <c r="C22" s="6">
        <f>$C$1-B22</f>
        <v>21</v>
      </c>
      <c r="D22" s="45">
        <v>1</v>
      </c>
      <c r="E22" s="46">
        <f>D22+1</f>
        <v>2</v>
      </c>
      <c r="F22" s="46">
        <f t="shared" ref="F22:Y22" si="107">E22+1</f>
        <v>3</v>
      </c>
      <c r="G22" s="46">
        <f t="shared" si="107"/>
        <v>4</v>
      </c>
      <c r="H22" s="46">
        <f t="shared" si="107"/>
        <v>5</v>
      </c>
      <c r="I22" s="46">
        <f t="shared" si="107"/>
        <v>6</v>
      </c>
      <c r="J22" s="46">
        <f t="shared" si="107"/>
        <v>7</v>
      </c>
      <c r="K22" s="46">
        <f t="shared" si="107"/>
        <v>8</v>
      </c>
      <c r="L22" s="46">
        <f t="shared" si="107"/>
        <v>9</v>
      </c>
      <c r="M22" s="46">
        <f t="shared" si="107"/>
        <v>10</v>
      </c>
      <c r="N22" s="46">
        <f t="shared" si="107"/>
        <v>11</v>
      </c>
      <c r="O22" s="46">
        <f t="shared" si="107"/>
        <v>12</v>
      </c>
      <c r="P22" s="46">
        <f t="shared" si="107"/>
        <v>13</v>
      </c>
      <c r="Q22" s="46">
        <f t="shared" si="107"/>
        <v>14</v>
      </c>
      <c r="R22" s="46">
        <f t="shared" si="107"/>
        <v>15</v>
      </c>
      <c r="S22" s="46">
        <f t="shared" si="107"/>
        <v>16</v>
      </c>
      <c r="T22" s="46">
        <f t="shared" si="107"/>
        <v>17</v>
      </c>
      <c r="U22" s="46">
        <f t="shared" si="107"/>
        <v>18</v>
      </c>
      <c r="V22" s="46">
        <f t="shared" si="107"/>
        <v>19</v>
      </c>
      <c r="W22" s="46">
        <f t="shared" si="107"/>
        <v>20</v>
      </c>
      <c r="X22" s="46">
        <f t="shared" si="107"/>
        <v>21</v>
      </c>
      <c r="Y22" s="47">
        <f t="shared" si="107"/>
        <v>22</v>
      </c>
      <c r="Z22" s="41"/>
      <c r="AA22" s="41"/>
      <c r="AB22"/>
    </row>
    <row r="23" spans="1:28" s="13" customFormat="1" x14ac:dyDescent="0.2">
      <c r="C23" s="10" t="s">
        <v>1</v>
      </c>
      <c r="D23" s="26">
        <f>COMBIN($C$22,D22)/COMBIN($C$1,D22)</f>
        <v>0.84</v>
      </c>
      <c r="E23" s="26">
        <f>COMBIN($C$22,E22)/COMBIN($C$1,E22)</f>
        <v>0.7</v>
      </c>
      <c r="F23" s="26">
        <f>COMBIN($C$22,F22)/COMBIN($C$1,F22)</f>
        <v>0.57826086956521738</v>
      </c>
      <c r="G23" s="26">
        <f>COMBIN($C$22,G22)/COMBIN($C$1,G22)</f>
        <v>0.47312252964426871</v>
      </c>
      <c r="H23" s="26">
        <f>COMBIN($C$22,H22)/COMBIN($C$1,H22)</f>
        <v>0.38300395256917003</v>
      </c>
      <c r="I23" s="26">
        <f>COMBIN($C$22,I22)/COMBIN($C$1,I22)</f>
        <v>0.30640316205533602</v>
      </c>
      <c r="J23" s="26">
        <f>COMBIN($C$22,J22)/COMBIN($C$1,J22)</f>
        <v>0.24189723320158096</v>
      </c>
      <c r="K23" s="26">
        <f>COMBIN($C$22,K22)/COMBIN($C$1,K22)</f>
        <v>0.18814229249011857</v>
      </c>
      <c r="L23" s="26">
        <f>COMBIN($C$22,L22)/COMBIN($C$1,L22)</f>
        <v>0.14387351778656129</v>
      </c>
      <c r="M23" s="26">
        <f>COMBIN($C$22,M22)/COMBIN($C$1,M22)</f>
        <v>0.10790513833992096</v>
      </c>
      <c r="N23" s="26">
        <f>COMBIN($C$22,N22)/COMBIN($C$1,N22)</f>
        <v>7.91304347826087E-2</v>
      </c>
      <c r="O23" s="26">
        <f>COMBIN($C$22,O22)/COMBIN($C$1,O22)</f>
        <v>5.6521739130434782E-2</v>
      </c>
      <c r="P23" s="26">
        <f>COMBIN($C$22,P22)/COMBIN($C$1,P22)</f>
        <v>3.9130434782608692E-2</v>
      </c>
      <c r="Q23" s="26">
        <f>COMBIN($C$22,Q22)/COMBIN($C$1,Q22)</f>
        <v>2.6086956521739129E-2</v>
      </c>
      <c r="R23" s="26">
        <f>COMBIN($C$22,R22)/COMBIN($C$1,R22)</f>
        <v>1.6600790513833993E-2</v>
      </c>
      <c r="S23" s="26">
        <f>COMBIN($C$22,S22)/COMBIN($C$1,S22)</f>
        <v>9.960474308300396E-3</v>
      </c>
      <c r="T23" s="26">
        <f>COMBIN($C$22,T22)/COMBIN($C$1,T22)</f>
        <v>5.5335968379446642E-3</v>
      </c>
      <c r="U23" s="26">
        <f>COMBIN($C$22,U22)/COMBIN($C$1,U22)</f>
        <v>2.7667984189723312E-3</v>
      </c>
      <c r="V23" s="26">
        <f>COMBIN($C$22,V22)/COMBIN($C$1,V22)</f>
        <v>1.1857707509881424E-3</v>
      </c>
      <c r="W23" s="26">
        <f>COMBIN($C$22,W22)/COMBIN($C$1,W22)</f>
        <v>3.9525691699604748E-4</v>
      </c>
      <c r="X23" s="26">
        <f>COMBIN($C$22,X22)/COMBIN($C$1,X22)</f>
        <v>7.9051383399209474E-5</v>
      </c>
      <c r="Y23" s="44"/>
      <c r="Z23" s="41"/>
      <c r="AA23" s="41"/>
      <c r="AB23"/>
    </row>
    <row r="24" spans="1:28" s="13" customFormat="1" x14ac:dyDescent="0.2">
      <c r="C24" s="11" t="s">
        <v>6</v>
      </c>
      <c r="D24" s="38">
        <f>1/D23</f>
        <v>1.1904761904761905</v>
      </c>
      <c r="E24" s="27">
        <f t="shared" ref="E24" si="108">1/E23</f>
        <v>1.4285714285714286</v>
      </c>
      <c r="F24" s="27">
        <f t="shared" ref="F24" si="109">1/F23</f>
        <v>1.7293233082706767</v>
      </c>
      <c r="G24" s="27">
        <f t="shared" ref="G24" si="110">1/G23</f>
        <v>2.1136173767752719</v>
      </c>
      <c r="H24" s="27">
        <f t="shared" ref="H24" si="111">1/H23</f>
        <v>2.6109391124870998</v>
      </c>
      <c r="I24" s="27">
        <f t="shared" ref="I24" si="112">1/I23</f>
        <v>3.2636738906088745</v>
      </c>
      <c r="J24" s="27">
        <f t="shared" ref="J24" si="113">1/J23</f>
        <v>4.1339869281045765</v>
      </c>
      <c r="K24" s="27">
        <f t="shared" ref="K24" si="114">1/K23</f>
        <v>5.3151260504201678</v>
      </c>
      <c r="L24" s="27">
        <f t="shared" ref="L24" si="115">1/L23</f>
        <v>6.9505494505494489</v>
      </c>
      <c r="M24" s="27">
        <f t="shared" ref="M24" si="116">1/M23</f>
        <v>9.2673992673992664</v>
      </c>
      <c r="N24" s="27">
        <f t="shared" ref="N24" si="117">1/N23</f>
        <v>12.637362637362637</v>
      </c>
      <c r="O24" s="27">
        <f t="shared" ref="O24" si="118">1/O23</f>
        <v>17.692307692307693</v>
      </c>
      <c r="P24" s="27">
        <f t="shared" ref="P24" si="119">1/P23</f>
        <v>25.555555555555557</v>
      </c>
      <c r="Q24" s="27">
        <f t="shared" ref="Q24" si="120">1/Q23</f>
        <v>38.333333333333336</v>
      </c>
      <c r="R24" s="27">
        <f t="shared" ref="R24" si="121">1/R23</f>
        <v>60.238095238095234</v>
      </c>
      <c r="S24" s="27">
        <f t="shared" ref="S24" si="122">1/S23</f>
        <v>100.39682539682539</v>
      </c>
      <c r="T24" s="27">
        <f t="shared" ref="T24" si="123">1/T23</f>
        <v>180.71428571428572</v>
      </c>
      <c r="U24" s="27">
        <f t="shared" ref="U24" si="124">1/U23</f>
        <v>361.42857142857156</v>
      </c>
      <c r="V24" s="27">
        <f t="shared" ref="V24" si="125">1/V23</f>
        <v>843.33333333333326</v>
      </c>
      <c r="W24" s="27">
        <f t="shared" ref="W24" si="126">1/W23</f>
        <v>2529.9999999999995</v>
      </c>
      <c r="X24" s="27">
        <f t="shared" ref="X24" si="127">1/X23</f>
        <v>12650.000000000002</v>
      </c>
      <c r="Y24" s="42"/>
      <c r="Z24" s="41"/>
      <c r="AA24" s="41"/>
      <c r="AB24"/>
    </row>
    <row r="25" spans="1:28" s="13" customFormat="1" ht="16" thickBot="1" x14ac:dyDescent="0.25">
      <c r="C25" s="12" t="s">
        <v>8</v>
      </c>
      <c r="D25" s="32">
        <f>$F$1*D24</f>
        <v>1.1071428571428572</v>
      </c>
      <c r="E25" s="31">
        <f t="shared" ref="E25" si="128">$F$1*E24</f>
        <v>1.3285714285714287</v>
      </c>
      <c r="F25" s="31">
        <f t="shared" ref="F25" si="129">$F$1*F24</f>
        <v>1.6082706766917294</v>
      </c>
      <c r="G25" s="31">
        <f t="shared" ref="G25" si="130">$F$1*G24</f>
        <v>1.965664160401003</v>
      </c>
      <c r="H25" s="31">
        <f t="shared" ref="H25" si="131">$F$1*H24</f>
        <v>2.428173374613003</v>
      </c>
      <c r="I25" s="31">
        <f t="shared" ref="I25" si="132">$F$1*I24</f>
        <v>3.0352167182662533</v>
      </c>
      <c r="J25" s="31">
        <f t="shared" ref="J25" si="133">$F$1*J24</f>
        <v>3.8446078431372563</v>
      </c>
      <c r="K25" s="31">
        <f t="shared" ref="K25" si="134">$F$1*K24</f>
        <v>4.9430672268907561</v>
      </c>
      <c r="L25" s="31">
        <f t="shared" ref="L25" si="135">$F$1*L24</f>
        <v>6.4640109890109878</v>
      </c>
      <c r="M25" s="31">
        <f t="shared" ref="M25" si="136">$F$1*M24</f>
        <v>8.6186813186813183</v>
      </c>
      <c r="N25" s="31">
        <f t="shared" ref="N25" si="137">$F$1*N24</f>
        <v>11.752747252747254</v>
      </c>
      <c r="O25" s="31">
        <f t="shared" ref="O25" si="138">$F$1*O24</f>
        <v>16.453846153846154</v>
      </c>
      <c r="P25" s="31">
        <f t="shared" ref="P25" si="139">$F$1*P24</f>
        <v>23.766666666666669</v>
      </c>
      <c r="Q25" s="31">
        <f t="shared" ref="Q25" si="140">$F$1*Q24</f>
        <v>35.650000000000006</v>
      </c>
      <c r="R25" s="31">
        <f t="shared" ref="R25" si="141">$F$1*R24</f>
        <v>56.021428571428572</v>
      </c>
      <c r="S25" s="31">
        <f t="shared" ref="S25" si="142">$F$1*S24</f>
        <v>93.36904761904762</v>
      </c>
      <c r="T25" s="31">
        <f t="shared" ref="T25" si="143">$F$1*T24</f>
        <v>168.06428571428572</v>
      </c>
      <c r="U25" s="31">
        <f t="shared" ref="U25" si="144">$F$1*U24</f>
        <v>336.12857142857155</v>
      </c>
      <c r="V25" s="31">
        <f t="shared" ref="V25" si="145">$F$1*V24</f>
        <v>784.3</v>
      </c>
      <c r="W25" s="31">
        <f t="shared" ref="W25" si="146">$F$1*W24</f>
        <v>2352.8999999999996</v>
      </c>
      <c r="X25" s="31">
        <f t="shared" ref="X25" si="147">$F$1*X24</f>
        <v>11764.500000000002</v>
      </c>
      <c r="Y25" s="43"/>
      <c r="Z25" s="41"/>
      <c r="AA25" s="41"/>
      <c r="AB25"/>
    </row>
    <row r="26" spans="1:28" ht="16" thickBot="1" x14ac:dyDescent="0.25"/>
    <row r="27" spans="1:28" s="13" customFormat="1" ht="16" thickBot="1" x14ac:dyDescent="0.25">
      <c r="A27" s="3" t="s">
        <v>18</v>
      </c>
      <c r="B27" s="14" t="s">
        <v>2</v>
      </c>
      <c r="C27" s="9" t="s">
        <v>3</v>
      </c>
      <c r="D27" s="55" t="s">
        <v>5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7"/>
      <c r="Y27"/>
      <c r="Z27"/>
      <c r="AA27"/>
      <c r="AB27"/>
    </row>
    <row r="28" spans="1:28" s="13" customFormat="1" ht="16" thickBot="1" x14ac:dyDescent="0.25">
      <c r="A28" s="7"/>
      <c r="B28" s="9">
        <v>5</v>
      </c>
      <c r="C28" s="6">
        <f>$C$1-B28</f>
        <v>20</v>
      </c>
      <c r="D28" s="14">
        <v>1</v>
      </c>
      <c r="E28" s="15">
        <f>D28+1</f>
        <v>2</v>
      </c>
      <c r="F28" s="15">
        <f t="shared" ref="F28:X28" si="148">E28+1</f>
        <v>3</v>
      </c>
      <c r="G28" s="15">
        <f t="shared" si="148"/>
        <v>4</v>
      </c>
      <c r="H28" s="15">
        <f t="shared" si="148"/>
        <v>5</v>
      </c>
      <c r="I28" s="15">
        <f t="shared" si="148"/>
        <v>6</v>
      </c>
      <c r="J28" s="15">
        <f t="shared" si="148"/>
        <v>7</v>
      </c>
      <c r="K28" s="15">
        <f t="shared" si="148"/>
        <v>8</v>
      </c>
      <c r="L28" s="15">
        <f t="shared" si="148"/>
        <v>9</v>
      </c>
      <c r="M28" s="15">
        <f t="shared" si="148"/>
        <v>10</v>
      </c>
      <c r="N28" s="15">
        <f t="shared" si="148"/>
        <v>11</v>
      </c>
      <c r="O28" s="15">
        <f t="shared" si="148"/>
        <v>12</v>
      </c>
      <c r="P28" s="15">
        <f t="shared" si="148"/>
        <v>13</v>
      </c>
      <c r="Q28" s="15">
        <f t="shared" si="148"/>
        <v>14</v>
      </c>
      <c r="R28" s="15">
        <f t="shared" si="148"/>
        <v>15</v>
      </c>
      <c r="S28" s="15">
        <f t="shared" si="148"/>
        <v>16</v>
      </c>
      <c r="T28" s="15">
        <f t="shared" si="148"/>
        <v>17</v>
      </c>
      <c r="U28" s="15">
        <f t="shared" si="148"/>
        <v>18</v>
      </c>
      <c r="V28" s="15">
        <f t="shared" si="148"/>
        <v>19</v>
      </c>
      <c r="W28" s="15">
        <f t="shared" si="148"/>
        <v>20</v>
      </c>
      <c r="X28" s="16">
        <f t="shared" si="148"/>
        <v>21</v>
      </c>
      <c r="Y28"/>
      <c r="Z28"/>
      <c r="AA28"/>
      <c r="AB28"/>
    </row>
    <row r="29" spans="1:28" s="13" customFormat="1" x14ac:dyDescent="0.2">
      <c r="C29" s="10" t="s">
        <v>1</v>
      </c>
      <c r="D29" s="51">
        <f>COMBIN($C$28,D28)/COMBIN($C$1,D28)</f>
        <v>0.8</v>
      </c>
      <c r="E29" s="26">
        <f>COMBIN($C$28,E28)/COMBIN($C$1,E28)</f>
        <v>0.6333333333333333</v>
      </c>
      <c r="F29" s="26">
        <f>COMBIN($C$28,F28)/COMBIN($C$1,F28)</f>
        <v>0.4956521739130435</v>
      </c>
      <c r="G29" s="26">
        <f>COMBIN($C$28,G28)/COMBIN($C$1,G28)</f>
        <v>0.38300395256916991</v>
      </c>
      <c r="H29" s="26">
        <f>COMBIN($C$28,H28)/COMBIN($C$1,H28)</f>
        <v>0.29181253529079615</v>
      </c>
      <c r="I29" s="26">
        <f>COMBIN($C$28,I28)/COMBIN($C$1,I28)</f>
        <v>0.21885940146809715</v>
      </c>
      <c r="J29" s="26">
        <f>COMBIN($C$28,J28)/COMBIN($C$1,J28)</f>
        <v>0.16126482213438731</v>
      </c>
      <c r="K29" s="26">
        <f>COMBIN($C$28,K28)/COMBIN($C$1,K28)</f>
        <v>0.11646903820816866</v>
      </c>
      <c r="L29" s="26">
        <f>COMBIN($C$28,L28)/COMBIN($C$1,L28)</f>
        <v>8.2213438735177863E-2</v>
      </c>
      <c r="M29" s="26">
        <f>COMBIN($C$28,M28)/COMBIN($C$1,M28)</f>
        <v>5.6521739130434789E-2</v>
      </c>
      <c r="N29" s="26">
        <f>COMBIN($C$28,N28)/COMBIN($C$1,N28)</f>
        <v>3.7681159420289857E-2</v>
      </c>
      <c r="O29" s="26">
        <f>COMBIN($C$28,O28)/COMBIN($C$1,O28)</f>
        <v>2.422360248447205E-2</v>
      </c>
      <c r="P29" s="26">
        <f>COMBIN($C$28,P28)/COMBIN($C$1,P28)</f>
        <v>1.4906832298136644E-2</v>
      </c>
      <c r="Q29" s="26">
        <f>COMBIN($C$28,Q28)/COMBIN($C$1,Q28)</f>
        <v>8.6956521739130436E-3</v>
      </c>
      <c r="R29" s="26">
        <f>COMBIN($C$28,R28)/COMBIN($C$1,R28)</f>
        <v>4.7430830039525695E-3</v>
      </c>
      <c r="S29" s="26">
        <f>COMBIN($C$28,S28)/COMBIN($C$1,S28)</f>
        <v>2.3715415019762848E-3</v>
      </c>
      <c r="T29" s="26">
        <f>COMBIN($C$28,T28)/COMBIN($C$1,T28)</f>
        <v>1.0540184453227931E-3</v>
      </c>
      <c r="U29" s="26">
        <f>COMBIN($C$28,U28)/COMBIN($C$1,U28)</f>
        <v>3.9525691699604732E-4</v>
      </c>
      <c r="V29" s="26">
        <f>COMBIN($C$28,V28)/COMBIN($C$1,V28)</f>
        <v>1.1293054771315642E-4</v>
      </c>
      <c r="W29" s="23">
        <f>COMBIN($C$28,W28)/COMBIN($C$1,W28)</f>
        <v>1.8821757952192737E-5</v>
      </c>
      <c r="X29" s="44"/>
      <c r="Y29"/>
      <c r="Z29"/>
      <c r="AA29"/>
      <c r="AB29"/>
    </row>
    <row r="30" spans="1:28" s="13" customFormat="1" x14ac:dyDescent="0.2">
      <c r="C30" s="11" t="s">
        <v>6</v>
      </c>
      <c r="D30" s="39">
        <f>1/D29</f>
        <v>1.25</v>
      </c>
      <c r="E30" s="27">
        <f t="shared" ref="E30" si="149">1/E29</f>
        <v>1.5789473684210527</v>
      </c>
      <c r="F30" s="27">
        <f t="shared" ref="F30" si="150">1/F29</f>
        <v>2.0175438596491229</v>
      </c>
      <c r="G30" s="27">
        <f t="shared" ref="G30" si="151">1/G29</f>
        <v>2.6109391124871002</v>
      </c>
      <c r="H30" s="27">
        <f t="shared" ref="H30" si="152">1/H29</f>
        <v>3.4268575851393188</v>
      </c>
      <c r="I30" s="27">
        <f t="shared" ref="I30" si="153">1/I29</f>
        <v>4.5691434468524248</v>
      </c>
      <c r="J30" s="27">
        <f t="shared" ref="J30" si="154">1/J29</f>
        <v>6.2009803921568647</v>
      </c>
      <c r="K30" s="27">
        <f t="shared" ref="K30" si="155">1/K29</f>
        <v>8.5859728506787309</v>
      </c>
      <c r="L30" s="27">
        <f t="shared" ref="L30" si="156">1/L29</f>
        <v>12.163461538461538</v>
      </c>
      <c r="M30" s="27">
        <f t="shared" ref="M30" si="157">1/M29</f>
        <v>17.69230769230769</v>
      </c>
      <c r="N30" s="27">
        <f t="shared" ref="N30" si="158">1/N29</f>
        <v>26.538461538461537</v>
      </c>
      <c r="O30" s="27">
        <f t="shared" ref="O30" si="159">1/O29</f>
        <v>41.282051282051285</v>
      </c>
      <c r="P30" s="27">
        <f t="shared" ref="P30" si="160">1/P29</f>
        <v>67.083333333333343</v>
      </c>
      <c r="Q30" s="27">
        <f t="shared" ref="Q30" si="161">1/Q29</f>
        <v>115</v>
      </c>
      <c r="R30" s="27">
        <f t="shared" ref="R30" si="162">1/R29</f>
        <v>210.83333333333331</v>
      </c>
      <c r="S30" s="27">
        <f t="shared" ref="S30" si="163">1/S29</f>
        <v>421.66666666666663</v>
      </c>
      <c r="T30" s="27">
        <f t="shared" ref="T30" si="164">1/T29</f>
        <v>948.75000000000011</v>
      </c>
      <c r="U30" s="27">
        <f t="shared" ref="U30" si="165">1/U29</f>
        <v>2530.0000000000009</v>
      </c>
      <c r="V30" s="27">
        <f t="shared" ref="V30" si="166">1/V29</f>
        <v>8854.9999999999982</v>
      </c>
      <c r="W30" s="27">
        <f t="shared" ref="W30" si="167">1/W29</f>
        <v>53129.999999999993</v>
      </c>
      <c r="X30" s="42"/>
      <c r="Y30"/>
      <c r="Z30"/>
      <c r="AA30"/>
      <c r="AB30"/>
    </row>
    <row r="31" spans="1:28" s="13" customFormat="1" ht="16" thickBot="1" x14ac:dyDescent="0.25">
      <c r="C31" s="12" t="s">
        <v>8</v>
      </c>
      <c r="D31" s="32">
        <f>$F$1*D30</f>
        <v>1.1625000000000001</v>
      </c>
      <c r="E31" s="31">
        <f t="shared" ref="E31" si="168">$F$1*E30</f>
        <v>1.4684210526315791</v>
      </c>
      <c r="F31" s="31">
        <f t="shared" ref="F31" si="169">$F$1*F30</f>
        <v>1.8763157894736844</v>
      </c>
      <c r="G31" s="31">
        <f t="shared" ref="G31" si="170">$F$1*G30</f>
        <v>2.4281733746130034</v>
      </c>
      <c r="H31" s="31">
        <f t="shared" ref="H31" si="171">$F$1*H30</f>
        <v>3.1869775541795669</v>
      </c>
      <c r="I31" s="31">
        <f t="shared" ref="I31" si="172">$F$1*I30</f>
        <v>4.2493034055727552</v>
      </c>
      <c r="J31" s="31">
        <f t="shared" ref="J31" si="173">$F$1*J30</f>
        <v>5.7669117647058847</v>
      </c>
      <c r="K31" s="31">
        <f t="shared" ref="K31" si="174">$F$1*K30</f>
        <v>7.9849547511312204</v>
      </c>
      <c r="L31" s="31">
        <f t="shared" ref="L31" si="175">$F$1*L30</f>
        <v>11.312019230769231</v>
      </c>
      <c r="M31" s="31">
        <f t="shared" ref="M31" si="176">$F$1*M30</f>
        <v>16.453846153846154</v>
      </c>
      <c r="N31" s="31">
        <f t="shared" ref="N31" si="177">$F$1*N30</f>
        <v>24.680769230769229</v>
      </c>
      <c r="O31" s="31">
        <f t="shared" ref="O31" si="178">$F$1*O30</f>
        <v>38.392307692307696</v>
      </c>
      <c r="P31" s="31">
        <f t="shared" ref="P31" si="179">$F$1*P30</f>
        <v>62.38750000000001</v>
      </c>
      <c r="Q31" s="31">
        <f t="shared" ref="Q31" si="180">$F$1*Q30</f>
        <v>106.95</v>
      </c>
      <c r="R31" s="31">
        <f t="shared" ref="R31" si="181">$F$1*R30</f>
        <v>196.07499999999999</v>
      </c>
      <c r="S31" s="31">
        <f t="shared" ref="S31" si="182">$F$1*S30</f>
        <v>392.15</v>
      </c>
      <c r="T31" s="31">
        <f t="shared" ref="T31" si="183">$F$1*T30</f>
        <v>882.3375000000002</v>
      </c>
      <c r="U31" s="31">
        <f t="shared" ref="U31" si="184">$F$1*U30</f>
        <v>2352.900000000001</v>
      </c>
      <c r="V31" s="31">
        <f t="shared" ref="V31" si="185">$F$1*V30</f>
        <v>8235.15</v>
      </c>
      <c r="W31" s="31">
        <f t="shared" ref="W31" si="186">$F$1*W30</f>
        <v>49410.899999999994</v>
      </c>
      <c r="X31" s="43"/>
      <c r="Y31"/>
      <c r="Z31"/>
      <c r="AA31"/>
      <c r="AB31"/>
    </row>
    <row r="32" spans="1:28" ht="16" thickBot="1" x14ac:dyDescent="0.25"/>
    <row r="33" spans="1:28" s="13" customFormat="1" ht="16" thickBot="1" x14ac:dyDescent="0.25">
      <c r="A33" s="3" t="s">
        <v>19</v>
      </c>
      <c r="B33" s="14" t="s">
        <v>2</v>
      </c>
      <c r="C33" s="9" t="s">
        <v>3</v>
      </c>
      <c r="D33" s="55" t="s">
        <v>5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/>
      <c r="Y33"/>
      <c r="Z33"/>
      <c r="AA33"/>
      <c r="AB33"/>
    </row>
    <row r="34" spans="1:28" s="13" customFormat="1" ht="16" thickBot="1" x14ac:dyDescent="0.25">
      <c r="A34" s="7"/>
      <c r="B34" s="9">
        <v>6</v>
      </c>
      <c r="C34" s="6">
        <f>$C$1-B34</f>
        <v>19</v>
      </c>
      <c r="D34" s="14">
        <v>1</v>
      </c>
      <c r="E34" s="15">
        <f>D34+1</f>
        <v>2</v>
      </c>
      <c r="F34" s="15">
        <f t="shared" ref="F34:W34" si="187">E34+1</f>
        <v>3</v>
      </c>
      <c r="G34" s="15">
        <f t="shared" si="187"/>
        <v>4</v>
      </c>
      <c r="H34" s="15">
        <f t="shared" si="187"/>
        <v>5</v>
      </c>
      <c r="I34" s="15">
        <f t="shared" si="187"/>
        <v>6</v>
      </c>
      <c r="J34" s="15">
        <f t="shared" si="187"/>
        <v>7</v>
      </c>
      <c r="K34" s="15">
        <f t="shared" si="187"/>
        <v>8</v>
      </c>
      <c r="L34" s="15">
        <f t="shared" si="187"/>
        <v>9</v>
      </c>
      <c r="M34" s="15">
        <f t="shared" si="187"/>
        <v>10</v>
      </c>
      <c r="N34" s="15">
        <f t="shared" si="187"/>
        <v>11</v>
      </c>
      <c r="O34" s="15">
        <f t="shared" si="187"/>
        <v>12</v>
      </c>
      <c r="P34" s="15">
        <f t="shared" si="187"/>
        <v>13</v>
      </c>
      <c r="Q34" s="15">
        <f t="shared" si="187"/>
        <v>14</v>
      </c>
      <c r="R34" s="15">
        <f t="shared" si="187"/>
        <v>15</v>
      </c>
      <c r="S34" s="15">
        <f t="shared" si="187"/>
        <v>16</v>
      </c>
      <c r="T34" s="15">
        <f t="shared" si="187"/>
        <v>17</v>
      </c>
      <c r="U34" s="15">
        <f t="shared" si="187"/>
        <v>18</v>
      </c>
      <c r="V34" s="15">
        <f t="shared" si="187"/>
        <v>19</v>
      </c>
      <c r="W34" s="16">
        <f t="shared" si="187"/>
        <v>20</v>
      </c>
      <c r="X34"/>
      <c r="Y34"/>
      <c r="Z34"/>
      <c r="AA34"/>
      <c r="AB34"/>
    </row>
    <row r="35" spans="1:28" s="13" customFormat="1" x14ac:dyDescent="0.2">
      <c r="C35" s="10" t="s">
        <v>1</v>
      </c>
      <c r="D35" s="3">
        <f>COMBIN($C$34,D34)/COMBIN($C$1,D34)</f>
        <v>0.76</v>
      </c>
      <c r="E35" s="17">
        <f>COMBIN($C$34,E34)/COMBIN($C$1,E34)</f>
        <v>0.56999999999999995</v>
      </c>
      <c r="F35" s="17">
        <f>COMBIN($C$34,F34)/COMBIN($C$1,F34)</f>
        <v>0.42130434782608694</v>
      </c>
      <c r="G35" s="17">
        <f>COMBIN($C$34,G34)/COMBIN($C$1,G34)</f>
        <v>0.30640316205533591</v>
      </c>
      <c r="H35" s="17">
        <f>COMBIN($C$34,H34)/COMBIN($C$1,H34)</f>
        <v>0.21885940146809715</v>
      </c>
      <c r="I35" s="17">
        <f>COMBIN($C$34,I34)/COMBIN($C$1,I34)</f>
        <v>0.15320158102766801</v>
      </c>
      <c r="J35" s="17">
        <f>COMBIN($C$34,J34)/COMBIN($C$1,J34)</f>
        <v>0.10482213438735177</v>
      </c>
      <c r="K35" s="17">
        <f>COMBIN($C$34,K34)/COMBIN($C$1,K34)</f>
        <v>6.9881422924901168E-2</v>
      </c>
      <c r="L35" s="17">
        <f>COMBIN($C$34,L34)/COMBIN($C$1,L34)</f>
        <v>4.5217391304347827E-2</v>
      </c>
      <c r="M35" s="17">
        <f>COMBIN($C$34,M34)/COMBIN($C$1,M34)</f>
        <v>2.8260869565217395E-2</v>
      </c>
      <c r="N35" s="17">
        <f>COMBIN($C$34,N34)/COMBIN($C$1,N34)</f>
        <v>1.6956521739130433E-2</v>
      </c>
      <c r="O35" s="17">
        <f>COMBIN($C$34,O34)/COMBIN($C$1,O34)</f>
        <v>9.6894409937888192E-3</v>
      </c>
      <c r="P35" s="17">
        <f>COMBIN($C$34,P34)/COMBIN($C$1,P34)</f>
        <v>5.2173913043478248E-3</v>
      </c>
      <c r="Q35" s="17">
        <f>COMBIN($C$34,Q34)/COMBIN($C$1,Q34)</f>
        <v>2.6086956521739132E-3</v>
      </c>
      <c r="R35" s="17">
        <f>COMBIN($C$34,R34)/COMBIN($C$1,R34)</f>
        <v>1.1857707509881424E-3</v>
      </c>
      <c r="S35" s="17">
        <f>COMBIN($C$34,S34)/COMBIN($C$1,S34)</f>
        <v>4.743083003952569E-4</v>
      </c>
      <c r="T35" s="17">
        <f>COMBIN($C$34,T34)/COMBIN($C$1,T34)</f>
        <v>1.5810276679841898E-4</v>
      </c>
      <c r="U35" s="17">
        <f>COMBIN($C$34,U34)/COMBIN($C$1,U34)</f>
        <v>3.952569169960473E-5</v>
      </c>
      <c r="V35" s="17">
        <f>COMBIN($C$34,V34)/COMBIN($C$1,V34)</f>
        <v>5.6465273856578217E-6</v>
      </c>
      <c r="W35" s="4"/>
      <c r="X35"/>
      <c r="Y35" s="13">
        <f>1/V35</f>
        <v>177099.99999999997</v>
      </c>
      <c r="Z35"/>
      <c r="AA35"/>
      <c r="AB35"/>
    </row>
    <row r="36" spans="1:28" s="13" customFormat="1" x14ac:dyDescent="0.2">
      <c r="C36" s="11" t="s">
        <v>6</v>
      </c>
      <c r="D36" s="5">
        <f>1/D35</f>
        <v>1.3157894736842106</v>
      </c>
      <c r="E36" s="13">
        <f t="shared" ref="E36" si="188">1/E35</f>
        <v>1.7543859649122808</v>
      </c>
      <c r="F36" s="13">
        <f t="shared" ref="F36" si="189">1/F35</f>
        <v>2.3735810113519094</v>
      </c>
      <c r="G36" s="13">
        <f t="shared" ref="G36" si="190">1/G35</f>
        <v>3.2636738906088758</v>
      </c>
      <c r="H36" s="13">
        <f t="shared" ref="H36" si="191">1/H35</f>
        <v>4.5691434468524248</v>
      </c>
      <c r="I36" s="13">
        <f t="shared" ref="I36" si="192">1/I35</f>
        <v>6.5273477812177489</v>
      </c>
      <c r="J36" s="13">
        <f t="shared" ref="J36" si="193">1/J35</f>
        <v>9.539969834087481</v>
      </c>
      <c r="K36" s="13">
        <f t="shared" ref="K36" si="194">1/K35</f>
        <v>14.309954751131226</v>
      </c>
      <c r="L36" s="13">
        <f t="shared" ref="L36" si="195">1/L35</f>
        <v>22.115384615384613</v>
      </c>
      <c r="M36" s="13">
        <f t="shared" ref="M36" si="196">1/M35</f>
        <v>35.38461538461538</v>
      </c>
      <c r="N36" s="13">
        <f t="shared" ref="N36" si="197">1/N35</f>
        <v>58.974358974358985</v>
      </c>
      <c r="O36" s="13">
        <f t="shared" ref="O36" si="198">1/O35</f>
        <v>103.20512820512822</v>
      </c>
      <c r="P36" s="13">
        <f t="shared" ref="P36" si="199">1/P35</f>
        <v>191.66666666666671</v>
      </c>
      <c r="Q36" s="13">
        <f t="shared" ref="Q36" si="200">1/Q35</f>
        <v>383.33333333333331</v>
      </c>
      <c r="R36" s="13">
        <f t="shared" ref="R36" si="201">1/R35</f>
        <v>843.33333333333326</v>
      </c>
      <c r="S36" s="13">
        <f t="shared" ref="S36" si="202">1/S35</f>
        <v>2108.3333333333335</v>
      </c>
      <c r="T36" s="13">
        <f t="shared" ref="T36" si="203">1/T35</f>
        <v>6325</v>
      </c>
      <c r="U36" s="13">
        <f t="shared" ref="U36" si="204">1/U35</f>
        <v>25300.000000000007</v>
      </c>
      <c r="V36" s="13">
        <f t="shared" ref="V36" si="205">1/V35</f>
        <v>177099.99999999997</v>
      </c>
      <c r="W36" s="6"/>
      <c r="X36"/>
      <c r="Y36"/>
      <c r="Z36"/>
      <c r="AA36"/>
      <c r="AB36"/>
    </row>
    <row r="37" spans="1:28" s="13" customFormat="1" ht="16" thickBot="1" x14ac:dyDescent="0.25">
      <c r="C37" s="12" t="s">
        <v>8</v>
      </c>
      <c r="D37" s="7">
        <f>$F$1*D36</f>
        <v>1.2236842105263159</v>
      </c>
      <c r="E37" s="18">
        <f t="shared" ref="E37" si="206">$F$1*E36</f>
        <v>1.6315789473684212</v>
      </c>
      <c r="F37" s="18">
        <f t="shared" ref="F37" si="207">$F$1*F36</f>
        <v>2.2074303405572757</v>
      </c>
      <c r="G37" s="18">
        <f t="shared" ref="G37" si="208">$F$1*G36</f>
        <v>3.0352167182662546</v>
      </c>
      <c r="H37" s="18">
        <f t="shared" ref="H37" si="209">$F$1*H36</f>
        <v>4.2493034055727552</v>
      </c>
      <c r="I37" s="18">
        <f t="shared" ref="I37" si="210">$F$1*I36</f>
        <v>6.0704334365325066</v>
      </c>
      <c r="J37" s="18">
        <f t="shared" ref="J37" si="211">$F$1*J36</f>
        <v>8.872171945701357</v>
      </c>
      <c r="K37" s="18">
        <f t="shared" ref="K37" si="212">$F$1*K36</f>
        <v>13.308257918552041</v>
      </c>
      <c r="L37" s="18">
        <f t="shared" ref="L37" si="213">$F$1*L36</f>
        <v>20.56730769230769</v>
      </c>
      <c r="M37" s="18">
        <f t="shared" ref="M37" si="214">$F$1*M36</f>
        <v>32.907692307692308</v>
      </c>
      <c r="N37" s="18">
        <f t="shared" ref="N37" si="215">$F$1*N36</f>
        <v>54.846153846153861</v>
      </c>
      <c r="O37" s="18">
        <f t="shared" ref="O37" si="216">$F$1*O36</f>
        <v>95.980769230769255</v>
      </c>
      <c r="P37" s="18">
        <f t="shared" ref="P37" si="217">$F$1*P36</f>
        <v>178.25000000000006</v>
      </c>
      <c r="Q37" s="18">
        <f t="shared" ref="Q37" si="218">$F$1*Q36</f>
        <v>356.5</v>
      </c>
      <c r="R37" s="18">
        <f t="shared" ref="R37" si="219">$F$1*R36</f>
        <v>784.3</v>
      </c>
      <c r="S37" s="18">
        <f t="shared" ref="S37" si="220">$F$1*S36</f>
        <v>1960.7500000000002</v>
      </c>
      <c r="T37" s="18">
        <f t="shared" ref="T37" si="221">$F$1*T36</f>
        <v>5882.25</v>
      </c>
      <c r="U37" s="18">
        <f t="shared" ref="U37" si="222">$F$1*U36</f>
        <v>23529.000000000007</v>
      </c>
      <c r="V37" s="18">
        <f t="shared" ref="V37" si="223">$F$1*V36</f>
        <v>164702.99999999997</v>
      </c>
      <c r="W37" s="8"/>
      <c r="X37"/>
      <c r="Y37"/>
      <c r="Z37"/>
      <c r="AA37"/>
      <c r="AB37"/>
    </row>
    <row r="38" spans="1:28" ht="16" thickBot="1" x14ac:dyDescent="0.25"/>
    <row r="39" spans="1:28" s="13" customFormat="1" ht="16" thickBot="1" x14ac:dyDescent="0.25">
      <c r="A39" s="3" t="s">
        <v>20</v>
      </c>
      <c r="B39" s="14" t="s">
        <v>2</v>
      </c>
      <c r="C39" s="9" t="s">
        <v>3</v>
      </c>
      <c r="D39" s="55" t="s">
        <v>5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7"/>
      <c r="W39"/>
      <c r="X39"/>
      <c r="Y39"/>
      <c r="Z39"/>
      <c r="AA39"/>
      <c r="AB39"/>
    </row>
    <row r="40" spans="1:28" s="13" customFormat="1" ht="16" thickBot="1" x14ac:dyDescent="0.25">
      <c r="A40" s="7"/>
      <c r="B40" s="9">
        <v>7</v>
      </c>
      <c r="C40" s="6">
        <f>$C$1-B40</f>
        <v>18</v>
      </c>
      <c r="D40" s="14">
        <v>1</v>
      </c>
      <c r="E40" s="15">
        <f>D40+1</f>
        <v>2</v>
      </c>
      <c r="F40" s="15">
        <f t="shared" ref="F40:V40" si="224">E40+1</f>
        <v>3</v>
      </c>
      <c r="G40" s="15">
        <f t="shared" si="224"/>
        <v>4</v>
      </c>
      <c r="H40" s="15">
        <f t="shared" si="224"/>
        <v>5</v>
      </c>
      <c r="I40" s="15">
        <f t="shared" si="224"/>
        <v>6</v>
      </c>
      <c r="J40" s="15">
        <f t="shared" si="224"/>
        <v>7</v>
      </c>
      <c r="K40" s="15">
        <f t="shared" si="224"/>
        <v>8</v>
      </c>
      <c r="L40" s="15">
        <f t="shared" si="224"/>
        <v>9</v>
      </c>
      <c r="M40" s="15">
        <f t="shared" si="224"/>
        <v>10</v>
      </c>
      <c r="N40" s="15">
        <f t="shared" si="224"/>
        <v>11</v>
      </c>
      <c r="O40" s="15">
        <f t="shared" si="224"/>
        <v>12</v>
      </c>
      <c r="P40" s="15">
        <f t="shared" si="224"/>
        <v>13</v>
      </c>
      <c r="Q40" s="15">
        <f t="shared" si="224"/>
        <v>14</v>
      </c>
      <c r="R40" s="15">
        <f t="shared" si="224"/>
        <v>15</v>
      </c>
      <c r="S40" s="15">
        <f t="shared" si="224"/>
        <v>16</v>
      </c>
      <c r="T40" s="15">
        <f t="shared" si="224"/>
        <v>17</v>
      </c>
      <c r="U40" s="15">
        <f t="shared" si="224"/>
        <v>18</v>
      </c>
      <c r="V40" s="16">
        <f t="shared" si="224"/>
        <v>19</v>
      </c>
      <c r="W40"/>
      <c r="X40"/>
      <c r="Y40"/>
      <c r="Z40"/>
      <c r="AA40"/>
      <c r="AB40"/>
    </row>
    <row r="41" spans="1:28" s="13" customFormat="1" x14ac:dyDescent="0.2">
      <c r="C41" s="10" t="s">
        <v>1</v>
      </c>
      <c r="D41" s="3">
        <f>COMBIN($C$40,D40)/COMBIN($C$1,D40)</f>
        <v>0.72</v>
      </c>
      <c r="E41" s="23">
        <f>COMBIN($C$40,E40)/COMBIN($C$1,E40)</f>
        <v>0.51</v>
      </c>
      <c r="F41" s="23">
        <f>COMBIN($C$40,F40)/COMBIN($C$1,F40)</f>
        <v>0.35478260869565215</v>
      </c>
      <c r="G41" s="23">
        <f>COMBIN($C$40,G40)/COMBIN($C$1,G40)</f>
        <v>0.24189723320158099</v>
      </c>
      <c r="H41" s="23">
        <f>COMBIN($C$40,H40)/COMBIN($C$1,H40)</f>
        <v>0.16126482213438736</v>
      </c>
      <c r="I41" s="23">
        <f>COMBIN($C$40,I40)/COMBIN($C$1,I40)</f>
        <v>0.10482213438735181</v>
      </c>
      <c r="J41" s="23">
        <f>COMBIN($C$40,J40)/COMBIN($C$1,J40)</f>
        <v>6.6203453297274784E-2</v>
      </c>
      <c r="K41" s="23">
        <f>COMBIN($C$40,K40)/COMBIN($C$1,K40)</f>
        <v>4.0457665903890161E-2</v>
      </c>
      <c r="L41" s="23">
        <f>COMBIN($C$40,L40)/COMBIN($C$1,L40)</f>
        <v>2.3798627002288325E-2</v>
      </c>
      <c r="M41" s="23">
        <f>COMBIN($C$40,M40)/COMBIN($C$1,M40)</f>
        <v>1.3386727688787188E-2</v>
      </c>
      <c r="N41" s="23">
        <f>COMBIN($C$40,N40)/COMBIN($C$1,N40)</f>
        <v>7.1395881006864979E-3</v>
      </c>
      <c r="O41" s="23">
        <f>COMBIN($C$40,O40)/COMBIN($C$1,O40)</f>
        <v>3.5697940503432494E-3</v>
      </c>
      <c r="P41" s="23">
        <f>COMBIN($C$40,P40)/COMBIN($C$1,P40)</f>
        <v>1.6475972540045763E-3</v>
      </c>
      <c r="Q41" s="23">
        <f>COMBIN($C$40,Q40)/COMBIN($C$1,Q40)</f>
        <v>6.8649885583524025E-4</v>
      </c>
      <c r="R41" s="23">
        <f>COMBIN($C$40,R40)/COMBIN($C$1,R40)</f>
        <v>2.4963594757645107E-4</v>
      </c>
      <c r="S41" s="23">
        <f>COMBIN($C$40,S40)/COMBIN($C$1,S40)</f>
        <v>7.4890784272935301E-5</v>
      </c>
      <c r="T41" s="23">
        <f>COMBIN($C$40,T40)/COMBIN($C$1,T40)</f>
        <v>1.6642396505096735E-5</v>
      </c>
      <c r="U41" s="23">
        <f>COMBIN($C$40,U40)/COMBIN($C$1,U40)</f>
        <v>2.080299563137091E-6</v>
      </c>
      <c r="V41" s="48"/>
      <c r="W41"/>
      <c r="X41"/>
      <c r="Y41"/>
      <c r="Z41"/>
      <c r="AA41"/>
      <c r="AB41"/>
    </row>
    <row r="42" spans="1:28" s="13" customFormat="1" x14ac:dyDescent="0.2">
      <c r="C42" s="11" t="s">
        <v>6</v>
      </c>
      <c r="D42" s="36">
        <f>1/D41</f>
        <v>1.3888888888888888</v>
      </c>
      <c r="E42" s="30">
        <f t="shared" ref="E42" si="225">1/E41</f>
        <v>1.9607843137254901</v>
      </c>
      <c r="F42" s="30">
        <f t="shared" ref="F42" si="226">1/F41</f>
        <v>2.8186274509803924</v>
      </c>
      <c r="G42" s="30">
        <f t="shared" ref="G42" si="227">1/G41</f>
        <v>4.1339869281045756</v>
      </c>
      <c r="H42" s="30">
        <f t="shared" ref="H42" si="228">1/H41</f>
        <v>6.200980392156862</v>
      </c>
      <c r="I42" s="30">
        <f t="shared" ref="I42" si="229">1/I41</f>
        <v>9.5399698340874775</v>
      </c>
      <c r="J42" s="30">
        <f t="shared" ref="J42" si="230">1/J41</f>
        <v>15.104952237305184</v>
      </c>
      <c r="K42" s="30">
        <f t="shared" ref="K42" si="231">1/K41</f>
        <v>24.717194570135746</v>
      </c>
      <c r="L42" s="30">
        <f t="shared" ref="L42" si="232">1/L41</f>
        <v>42.019230769230774</v>
      </c>
      <c r="M42" s="30">
        <f t="shared" ref="M42" si="233">1/M41</f>
        <v>74.700854700854691</v>
      </c>
      <c r="N42" s="30">
        <f t="shared" ref="N42" si="234">1/N41</f>
        <v>140.0641025641026</v>
      </c>
      <c r="O42" s="30">
        <f t="shared" ref="O42" si="235">1/O41</f>
        <v>280.12820512820514</v>
      </c>
      <c r="P42" s="30">
        <f t="shared" ref="P42" si="236">1/P41</f>
        <v>606.94444444444457</v>
      </c>
      <c r="Q42" s="30">
        <f t="shared" ref="Q42" si="237">1/Q41</f>
        <v>1456.6666666666667</v>
      </c>
      <c r="R42" s="30">
        <f t="shared" ref="R42" si="238">1/R41</f>
        <v>4005.8333333333326</v>
      </c>
      <c r="S42" s="30">
        <f t="shared" ref="S42" si="239">1/S41</f>
        <v>13352.777777777777</v>
      </c>
      <c r="T42" s="30">
        <f t="shared" ref="T42" si="240">1/T41</f>
        <v>60087.499999999993</v>
      </c>
      <c r="U42" s="30">
        <f t="shared" ref="U42" si="241">1/U41</f>
        <v>480700.00000000017</v>
      </c>
      <c r="V42" s="49"/>
      <c r="W42"/>
      <c r="X42"/>
      <c r="Y42"/>
      <c r="Z42"/>
      <c r="AA42"/>
      <c r="AB42"/>
    </row>
    <row r="43" spans="1:28" s="13" customFormat="1" ht="16" thickBot="1" x14ac:dyDescent="0.25">
      <c r="C43" s="12" t="s">
        <v>8</v>
      </c>
      <c r="D43" s="7">
        <f>$F$1*D42</f>
        <v>1.2916666666666667</v>
      </c>
      <c r="E43" s="31">
        <f t="shared" ref="E43" si="242">$F$1*E42</f>
        <v>1.8235294117647058</v>
      </c>
      <c r="F43" s="31">
        <f t="shared" ref="F43" si="243">$F$1*F42</f>
        <v>2.6213235294117649</v>
      </c>
      <c r="G43" s="31">
        <f t="shared" ref="G43" si="244">$F$1*G42</f>
        <v>3.8446078431372555</v>
      </c>
      <c r="H43" s="31">
        <f t="shared" ref="H43" si="245">$F$1*H42</f>
        <v>5.7669117647058821</v>
      </c>
      <c r="I43" s="31">
        <f t="shared" ref="I43" si="246">$F$1*I42</f>
        <v>8.8721719457013553</v>
      </c>
      <c r="J43" s="31">
        <f t="shared" ref="J43" si="247">$F$1*J42</f>
        <v>14.047605580693823</v>
      </c>
      <c r="K43" s="31">
        <f t="shared" ref="K43" si="248">$F$1*K42</f>
        <v>22.986990950226243</v>
      </c>
      <c r="L43" s="31">
        <f t="shared" ref="L43" si="249">$F$1*L42</f>
        <v>39.077884615384619</v>
      </c>
      <c r="M43" s="31">
        <f t="shared" ref="M43" si="250">$F$1*M42</f>
        <v>69.47179487179487</v>
      </c>
      <c r="N43" s="31">
        <f t="shared" ref="N43" si="251">$F$1*N42</f>
        <v>130.25961538461542</v>
      </c>
      <c r="O43" s="31">
        <f t="shared" ref="O43" si="252">$F$1*O42</f>
        <v>260.51923076923077</v>
      </c>
      <c r="P43" s="31">
        <f t="shared" ref="P43" si="253">$F$1*P42</f>
        <v>564.45833333333348</v>
      </c>
      <c r="Q43" s="31">
        <f t="shared" ref="Q43" si="254">$F$1*Q42</f>
        <v>1354.7</v>
      </c>
      <c r="R43" s="31">
        <f t="shared" ref="R43" si="255">$F$1*R42</f>
        <v>3725.4249999999993</v>
      </c>
      <c r="S43" s="31">
        <f t="shared" ref="S43" si="256">$F$1*S42</f>
        <v>12418.083333333334</v>
      </c>
      <c r="T43" s="31">
        <f t="shared" ref="T43" si="257">$F$1*T42</f>
        <v>55881.374999999993</v>
      </c>
      <c r="U43" s="31">
        <f t="shared" ref="U43" si="258">$F$1*U42</f>
        <v>447051.00000000017</v>
      </c>
      <c r="V43" s="50"/>
      <c r="W43"/>
      <c r="X43"/>
      <c r="Y43"/>
      <c r="Z43"/>
      <c r="AA43"/>
      <c r="AB43"/>
    </row>
    <row r="44" spans="1:28" ht="16" thickBot="1" x14ac:dyDescent="0.25"/>
    <row r="45" spans="1:28" s="13" customFormat="1" ht="16" thickBot="1" x14ac:dyDescent="0.25">
      <c r="A45" s="3" t="s">
        <v>21</v>
      </c>
      <c r="B45" s="14" t="s">
        <v>2</v>
      </c>
      <c r="C45" s="9" t="s">
        <v>3</v>
      </c>
      <c r="D45" s="55" t="s">
        <v>5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7"/>
      <c r="V45"/>
      <c r="W45"/>
      <c r="X45"/>
      <c r="Y45"/>
      <c r="Z45"/>
      <c r="AA45"/>
      <c r="AB45"/>
    </row>
    <row r="46" spans="1:28" s="13" customFormat="1" ht="16" thickBot="1" x14ac:dyDescent="0.25">
      <c r="A46" s="7"/>
      <c r="B46" s="9">
        <v>8</v>
      </c>
      <c r="C46" s="6">
        <f>$C$1-B46</f>
        <v>17</v>
      </c>
      <c r="D46" s="14">
        <v>1</v>
      </c>
      <c r="E46" s="15">
        <f>D46+1</f>
        <v>2</v>
      </c>
      <c r="F46" s="15">
        <f t="shared" ref="F46:U46" si="259">E46+1</f>
        <v>3</v>
      </c>
      <c r="G46" s="15">
        <f t="shared" si="259"/>
        <v>4</v>
      </c>
      <c r="H46" s="15">
        <f t="shared" si="259"/>
        <v>5</v>
      </c>
      <c r="I46" s="15">
        <f t="shared" si="259"/>
        <v>6</v>
      </c>
      <c r="J46" s="15">
        <f t="shared" si="259"/>
        <v>7</v>
      </c>
      <c r="K46" s="15">
        <f t="shared" si="259"/>
        <v>8</v>
      </c>
      <c r="L46" s="15">
        <f t="shared" si="259"/>
        <v>9</v>
      </c>
      <c r="M46" s="15">
        <f t="shared" si="259"/>
        <v>10</v>
      </c>
      <c r="N46" s="15">
        <f t="shared" si="259"/>
        <v>11</v>
      </c>
      <c r="O46" s="15">
        <f t="shared" si="259"/>
        <v>12</v>
      </c>
      <c r="P46" s="15">
        <f t="shared" si="259"/>
        <v>13</v>
      </c>
      <c r="Q46" s="15">
        <f t="shared" si="259"/>
        <v>14</v>
      </c>
      <c r="R46" s="15">
        <f t="shared" si="259"/>
        <v>15</v>
      </c>
      <c r="S46" s="15">
        <f t="shared" si="259"/>
        <v>16</v>
      </c>
      <c r="T46" s="15">
        <f t="shared" si="259"/>
        <v>17</v>
      </c>
      <c r="U46" s="16">
        <f t="shared" si="259"/>
        <v>18</v>
      </c>
      <c r="V46"/>
      <c r="W46"/>
      <c r="X46"/>
      <c r="Y46"/>
      <c r="Z46"/>
      <c r="AA46"/>
      <c r="AB46"/>
    </row>
    <row r="47" spans="1:28" s="13" customFormat="1" x14ac:dyDescent="0.2">
      <c r="C47" s="10" t="s">
        <v>1</v>
      </c>
      <c r="D47" s="5">
        <f>COMBIN($C$46,D46)/COMBIN($C$1,D46)</f>
        <v>0.68</v>
      </c>
      <c r="E47" s="13">
        <f>COMBIN($C$46,E46)/COMBIN($C$1,E46)</f>
        <v>0.45333333333333331</v>
      </c>
      <c r="F47" s="13">
        <f>COMBIN($C$46,F46)/COMBIN($C$1,F46)</f>
        <v>0.29565217391304349</v>
      </c>
      <c r="G47" s="13">
        <f>COMBIN($C$46,G46)/COMBIN($C$1,G46)</f>
        <v>0.18814229249011855</v>
      </c>
      <c r="H47" s="13">
        <f>COMBIN($C$46,H46)/COMBIN($C$1,H46)</f>
        <v>0.11646903820816867</v>
      </c>
      <c r="I47" s="13">
        <f>COMBIN($C$46,I46)/COMBIN($C$1,I46)</f>
        <v>6.9881422924901196E-2</v>
      </c>
      <c r="J47" s="13">
        <f>COMBIN($C$46,J46)/COMBIN($C$1,J46)</f>
        <v>4.0457665903890147E-2</v>
      </c>
      <c r="K47" s="13">
        <f>COMBIN($C$46,K46)/COMBIN($C$1,K46)</f>
        <v>2.2476481057716755E-2</v>
      </c>
      <c r="L47" s="13">
        <f>COMBIN($C$46,L46)/COMBIN($C$1,L46)</f>
        <v>1.1899313501144164E-2</v>
      </c>
      <c r="M47" s="13">
        <f>COMBIN($C$46,M46)/COMBIN($C$1,M46)</f>
        <v>5.949656750572083E-3</v>
      </c>
      <c r="N47" s="13">
        <f>COMBIN($C$46,N46)/COMBIN($C$1,N46)</f>
        <v>2.776506483600305E-3</v>
      </c>
      <c r="O47" s="13">
        <f>COMBIN($C$46,O46)/COMBIN($C$1,O46)</f>
        <v>1.1899313501144164E-3</v>
      </c>
      <c r="P47" s="13">
        <f>COMBIN($C$46,P46)/COMBIN($C$1,P46)</f>
        <v>4.576659038901601E-4</v>
      </c>
      <c r="Q47" s="13">
        <f>COMBIN($C$46,Q46)/COMBIN($C$1,Q46)</f>
        <v>1.5255530129672007E-4</v>
      </c>
      <c r="R47" s="13">
        <f>COMBIN($C$46,R46)/COMBIN($C$1,R46)</f>
        <v>4.1605991262741838E-5</v>
      </c>
      <c r="S47" s="13">
        <f>COMBIN($C$46,S46)/COMBIN($C$1,S46)</f>
        <v>8.3211982525483675E-6</v>
      </c>
      <c r="T47" s="13">
        <f>COMBIN($C$46,T46)/COMBIN($C$1,T46)</f>
        <v>9.245775836164852E-7</v>
      </c>
      <c r="U47" s="6"/>
      <c r="V47"/>
      <c r="W47"/>
      <c r="X47"/>
      <c r="Y47"/>
      <c r="Z47"/>
      <c r="AA47"/>
      <c r="AB47"/>
    </row>
    <row r="48" spans="1:28" s="13" customFormat="1" x14ac:dyDescent="0.2">
      <c r="C48" s="11" t="s">
        <v>6</v>
      </c>
      <c r="D48" s="5">
        <f>1/D47</f>
        <v>1.4705882352941175</v>
      </c>
      <c r="E48" s="13">
        <f t="shared" ref="E48" si="260">1/E47</f>
        <v>2.2058823529411766</v>
      </c>
      <c r="F48" s="13">
        <f t="shared" ref="F48" si="261">1/F47</f>
        <v>3.3823529411764706</v>
      </c>
      <c r="G48" s="13">
        <f t="shared" ref="G48" si="262">1/G47</f>
        <v>5.3151260504201687</v>
      </c>
      <c r="H48" s="13">
        <f t="shared" ref="H48" si="263">1/H47</f>
        <v>8.5859728506787309</v>
      </c>
      <c r="I48" s="13">
        <f t="shared" ref="I48" si="264">1/I47</f>
        <v>14.309954751131219</v>
      </c>
      <c r="J48" s="13">
        <f t="shared" ref="J48" si="265">1/J47</f>
        <v>24.717194570135753</v>
      </c>
      <c r="K48" s="13">
        <f t="shared" ref="K48" si="266">1/K47</f>
        <v>44.490950226244344</v>
      </c>
      <c r="L48" s="13">
        <f t="shared" ref="L48" si="267">1/L47</f>
        <v>84.038461538461547</v>
      </c>
      <c r="M48" s="13">
        <f t="shared" ref="M48" si="268">1/M47</f>
        <v>168.07692307692307</v>
      </c>
      <c r="N48" s="13">
        <f t="shared" ref="N48" si="269">1/N47</f>
        <v>360.16483516483521</v>
      </c>
      <c r="O48" s="13">
        <f t="shared" ref="O48" si="270">1/O47</f>
        <v>840.38461538461547</v>
      </c>
      <c r="P48" s="13">
        <f t="shared" ref="P48" si="271">1/P47</f>
        <v>2185.0000000000005</v>
      </c>
      <c r="Q48" s="13">
        <f t="shared" ref="Q48" si="272">1/Q47</f>
        <v>6555</v>
      </c>
      <c r="R48" s="13">
        <f t="shared" ref="R48" si="273">1/R47</f>
        <v>24035</v>
      </c>
      <c r="S48" s="13">
        <f t="shared" ref="S48" si="274">1/S47</f>
        <v>120174.99999999999</v>
      </c>
      <c r="T48" s="13">
        <f t="shared" ref="T48" si="275">1/T47</f>
        <v>1081575</v>
      </c>
      <c r="U48" s="6"/>
      <c r="V48"/>
      <c r="W48"/>
      <c r="X48"/>
      <c r="Y48"/>
      <c r="Z48"/>
      <c r="AA48"/>
      <c r="AB48"/>
    </row>
    <row r="49" spans="1:28" s="13" customFormat="1" ht="16" thickBot="1" x14ac:dyDescent="0.25">
      <c r="C49" s="12" t="s">
        <v>8</v>
      </c>
      <c r="D49" s="32">
        <f>$F$1*D48</f>
        <v>1.3676470588235294</v>
      </c>
      <c r="E49" s="31">
        <f t="shared" ref="E49" si="276">$F$1*E48</f>
        <v>2.0514705882352944</v>
      </c>
      <c r="F49" s="31">
        <f t="shared" ref="F49" si="277">$F$1*F48</f>
        <v>3.1455882352941176</v>
      </c>
      <c r="G49" s="31">
        <f t="shared" ref="G49" si="278">$F$1*G48</f>
        <v>4.9430672268907569</v>
      </c>
      <c r="H49" s="31">
        <f t="shared" ref="H49" si="279">$F$1*H48</f>
        <v>7.9849547511312204</v>
      </c>
      <c r="I49" s="31">
        <f t="shared" ref="I49" si="280">$F$1*I48</f>
        <v>13.308257918552034</v>
      </c>
      <c r="J49" s="31">
        <f t="shared" ref="J49" si="281">$F$1*J48</f>
        <v>22.98699095022625</v>
      </c>
      <c r="K49" s="31">
        <f t="shared" ref="K49" si="282">$F$1*K48</f>
        <v>41.376583710407239</v>
      </c>
      <c r="L49" s="31">
        <f t="shared" ref="L49" si="283">$F$1*L48</f>
        <v>78.155769230769238</v>
      </c>
      <c r="M49" s="31">
        <f t="shared" ref="M49" si="284">$F$1*M48</f>
        <v>156.31153846153845</v>
      </c>
      <c r="N49" s="31">
        <f t="shared" ref="N49" si="285">$F$1*N48</f>
        <v>334.95329670329676</v>
      </c>
      <c r="O49" s="31">
        <f t="shared" ref="O49" si="286">$F$1*O48</f>
        <v>781.55769230769238</v>
      </c>
      <c r="P49" s="31">
        <f t="shared" ref="P49" si="287">$F$1*P48</f>
        <v>2032.0500000000006</v>
      </c>
      <c r="Q49" s="31">
        <f t="shared" ref="Q49" si="288">$F$1*Q48</f>
        <v>6096.1500000000005</v>
      </c>
      <c r="R49" s="31">
        <f t="shared" ref="R49" si="289">$F$1*R48</f>
        <v>22352.550000000003</v>
      </c>
      <c r="S49" s="31">
        <f t="shared" ref="S49" si="290">$F$1*S48</f>
        <v>111762.74999999999</v>
      </c>
      <c r="T49" s="31">
        <f t="shared" ref="T49" si="291">$F$1*T48</f>
        <v>1005864.75</v>
      </c>
      <c r="U49" s="8"/>
      <c r="V49"/>
      <c r="W49"/>
      <c r="X49"/>
      <c r="Y49"/>
      <c r="Z49"/>
      <c r="AA49"/>
      <c r="AB49"/>
    </row>
    <row r="50" spans="1:28" ht="16" thickBot="1" x14ac:dyDescent="0.25"/>
    <row r="51" spans="1:28" s="13" customFormat="1" ht="16" thickBot="1" x14ac:dyDescent="0.25">
      <c r="A51" s="3" t="s">
        <v>22</v>
      </c>
      <c r="B51" s="14" t="s">
        <v>2</v>
      </c>
      <c r="C51" s="9" t="s">
        <v>3</v>
      </c>
      <c r="D51" s="55" t="s">
        <v>5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7"/>
      <c r="U51"/>
      <c r="V51"/>
      <c r="W51"/>
      <c r="X51"/>
      <c r="Y51"/>
      <c r="Z51"/>
      <c r="AA51"/>
      <c r="AB51"/>
    </row>
    <row r="52" spans="1:28" s="13" customFormat="1" ht="16" thickBot="1" x14ac:dyDescent="0.25">
      <c r="A52" s="7"/>
      <c r="B52" s="9">
        <v>9</v>
      </c>
      <c r="C52" s="6">
        <f>$C$1-B52</f>
        <v>16</v>
      </c>
      <c r="D52" s="14">
        <v>1</v>
      </c>
      <c r="E52" s="15">
        <f>D52+1</f>
        <v>2</v>
      </c>
      <c r="F52" s="15">
        <f t="shared" ref="F52:T52" si="292">E52+1</f>
        <v>3</v>
      </c>
      <c r="G52" s="15">
        <f t="shared" si="292"/>
        <v>4</v>
      </c>
      <c r="H52" s="15">
        <f t="shared" si="292"/>
        <v>5</v>
      </c>
      <c r="I52" s="15">
        <f t="shared" si="292"/>
        <v>6</v>
      </c>
      <c r="J52" s="15">
        <f t="shared" si="292"/>
        <v>7</v>
      </c>
      <c r="K52" s="15">
        <f t="shared" si="292"/>
        <v>8</v>
      </c>
      <c r="L52" s="15">
        <f t="shared" si="292"/>
        <v>9</v>
      </c>
      <c r="M52" s="15">
        <f t="shared" si="292"/>
        <v>10</v>
      </c>
      <c r="N52" s="15">
        <f t="shared" si="292"/>
        <v>11</v>
      </c>
      <c r="O52" s="15">
        <f t="shared" si="292"/>
        <v>12</v>
      </c>
      <c r="P52" s="15">
        <f t="shared" si="292"/>
        <v>13</v>
      </c>
      <c r="Q52" s="15">
        <f t="shared" si="292"/>
        <v>14</v>
      </c>
      <c r="R52" s="15">
        <f t="shared" si="292"/>
        <v>15</v>
      </c>
      <c r="S52" s="15">
        <f t="shared" si="292"/>
        <v>16</v>
      </c>
      <c r="T52" s="16">
        <f t="shared" si="292"/>
        <v>17</v>
      </c>
      <c r="U52"/>
      <c r="V52"/>
      <c r="W52"/>
      <c r="X52"/>
      <c r="Y52"/>
      <c r="Z52"/>
      <c r="AA52"/>
      <c r="AB52"/>
    </row>
    <row r="53" spans="1:28" s="13" customFormat="1" x14ac:dyDescent="0.2">
      <c r="C53" s="10" t="s">
        <v>1</v>
      </c>
      <c r="D53" s="5">
        <f>COMBIN($C$52,D52)/COMBIN($C$1,D52)</f>
        <v>0.64</v>
      </c>
      <c r="E53" s="17">
        <f>COMBIN($C$52,E52)/COMBIN($C$1,E52)</f>
        <v>0.4</v>
      </c>
      <c r="F53" s="17">
        <f>COMBIN($C$52,F52)/COMBIN($C$1,F52)</f>
        <v>0.24347826086956523</v>
      </c>
      <c r="G53" s="17">
        <f>COMBIN($C$52,G52)/COMBIN($C$1,G52)</f>
        <v>0.14387351778656127</v>
      </c>
      <c r="H53" s="17">
        <f>COMBIN($C$52,H52)/COMBIN($C$1,H52)</f>
        <v>8.2213438735177877E-2</v>
      </c>
      <c r="I53" s="17">
        <f>COMBIN($C$52,I52)/COMBIN($C$1,I52)</f>
        <v>4.5217391304347834E-2</v>
      </c>
      <c r="J53" s="17">
        <f>COMBIN($C$52,J52)/COMBIN($C$1,J52)</f>
        <v>2.3798627002288325E-2</v>
      </c>
      <c r="K53" s="17">
        <f>COMBIN($C$52,K52)/COMBIN($C$1,K52)</f>
        <v>1.1899313501144163E-2</v>
      </c>
      <c r="L53" s="17">
        <f>COMBIN($C$52,L52)/COMBIN($C$1,L52)</f>
        <v>5.599676941714901E-3</v>
      </c>
      <c r="M53" s="17">
        <f>COMBIN($C$52,M52)/COMBIN($C$1,M52)</f>
        <v>2.4498586620002698E-3</v>
      </c>
      <c r="N53" s="17">
        <f>COMBIN($C$52,N52)/COMBIN($C$1,N52)</f>
        <v>9.7994346480010774E-4</v>
      </c>
      <c r="O53" s="17">
        <f>COMBIN($C$52,O52)/COMBIN($C$1,O52)</f>
        <v>3.4997980885718131E-4</v>
      </c>
      <c r="P53" s="17">
        <f>COMBIN($C$52,P52)/COMBIN($C$1,P52)</f>
        <v>1.0768609503297885E-4</v>
      </c>
      <c r="Q53" s="17">
        <f>COMBIN($C$52,Q52)/COMBIN($C$1,Q52)</f>
        <v>2.6921523758244717E-5</v>
      </c>
      <c r="R53" s="17">
        <f>COMBIN($C$52,R52)/COMBIN($C$1,R52)</f>
        <v>4.89482250149904E-6</v>
      </c>
      <c r="S53" s="17">
        <f>COMBIN($C$52,S52)/COMBIN($C$1,S52)</f>
        <v>4.8948225014990389E-7</v>
      </c>
      <c r="T53" s="4"/>
      <c r="U53"/>
      <c r="V53"/>
      <c r="W53"/>
      <c r="X53"/>
      <c r="Y53"/>
      <c r="Z53"/>
      <c r="AA53"/>
      <c r="AB53"/>
    </row>
    <row r="54" spans="1:28" s="13" customFormat="1" x14ac:dyDescent="0.2">
      <c r="C54" s="11" t="s">
        <v>6</v>
      </c>
      <c r="D54" s="5">
        <f>1/D53</f>
        <v>1.5625</v>
      </c>
      <c r="E54" s="13">
        <f t="shared" ref="E54" si="293">1/E53</f>
        <v>2.5</v>
      </c>
      <c r="F54" s="13">
        <f t="shared" ref="F54" si="294">1/F53</f>
        <v>4.1071428571428568</v>
      </c>
      <c r="G54" s="13">
        <f t="shared" ref="G54" si="295">1/G53</f>
        <v>6.9505494505494507</v>
      </c>
      <c r="H54" s="13">
        <f t="shared" ref="H54" si="296">1/H53</f>
        <v>12.163461538461537</v>
      </c>
      <c r="I54" s="13">
        <f t="shared" ref="I54" si="297">1/I53</f>
        <v>22.11538461538461</v>
      </c>
      <c r="J54" s="13">
        <f t="shared" ref="J54" si="298">1/J53</f>
        <v>42.019230769230774</v>
      </c>
      <c r="K54" s="13">
        <f t="shared" ref="K54" si="299">1/K53</f>
        <v>84.038461538461547</v>
      </c>
      <c r="L54" s="13">
        <f t="shared" ref="L54" si="300">1/L53</f>
        <v>178.58173076923077</v>
      </c>
      <c r="M54" s="13">
        <f t="shared" ref="M54" si="301">1/M53</f>
        <v>408.18681318681308</v>
      </c>
      <c r="N54" s="13">
        <f t="shared" ref="N54" si="302">1/N53</f>
        <v>1020.4670329670329</v>
      </c>
      <c r="O54" s="13">
        <f t="shared" ref="O54" si="303">1/O53</f>
        <v>2857.3076923076924</v>
      </c>
      <c r="P54" s="13">
        <f t="shared" ref="P54" si="304">1/P53</f>
        <v>9286.2500000000018</v>
      </c>
      <c r="Q54" s="13">
        <f t="shared" ref="Q54" si="305">1/Q53</f>
        <v>37145</v>
      </c>
      <c r="R54" s="13">
        <f t="shared" ref="R54" si="306">1/R53</f>
        <v>204297.49999999997</v>
      </c>
      <c r="S54" s="13">
        <f t="shared" ref="S54" si="307">1/S53</f>
        <v>2042975.0000000002</v>
      </c>
      <c r="T54" s="6"/>
      <c r="U54"/>
      <c r="V54"/>
      <c r="W54"/>
      <c r="X54"/>
      <c r="Y54"/>
      <c r="Z54"/>
      <c r="AA54"/>
      <c r="AB54"/>
    </row>
    <row r="55" spans="1:28" s="13" customFormat="1" ht="16" thickBot="1" x14ac:dyDescent="0.25">
      <c r="C55" s="12" t="s">
        <v>8</v>
      </c>
      <c r="D55" s="7">
        <f>$F$1*D54</f>
        <v>1.453125</v>
      </c>
      <c r="E55" s="18">
        <f t="shared" ref="E55" si="308">$F$1*E54</f>
        <v>2.3250000000000002</v>
      </c>
      <c r="F55" s="28">
        <f t="shared" ref="F55" si="309">$F$1*F54</f>
        <v>3.8196428571428571</v>
      </c>
      <c r="G55" s="28">
        <f t="shared" ref="G55" si="310">$F$1*G54</f>
        <v>6.4640109890109896</v>
      </c>
      <c r="H55" s="28">
        <f t="shared" ref="H55" si="311">$F$1*H54</f>
        <v>11.312019230769229</v>
      </c>
      <c r="I55" s="28">
        <f t="shared" ref="I55" si="312">$F$1*I54</f>
        <v>20.567307692307686</v>
      </c>
      <c r="J55" s="28">
        <f t="shared" ref="J55" si="313">$F$1*J54</f>
        <v>39.077884615384619</v>
      </c>
      <c r="K55" s="28">
        <f t="shared" ref="K55" si="314">$F$1*K54</f>
        <v>78.155769230769238</v>
      </c>
      <c r="L55" s="28">
        <f t="shared" ref="L55" si="315">$F$1*L54</f>
        <v>166.08100961538463</v>
      </c>
      <c r="M55" s="28">
        <f t="shared" ref="M55" si="316">$F$1*M54</f>
        <v>379.6137362637362</v>
      </c>
      <c r="N55" s="28">
        <f t="shared" ref="N55" si="317">$F$1*N54</f>
        <v>949.03434065934061</v>
      </c>
      <c r="O55" s="28">
        <f t="shared" ref="O55" si="318">$F$1*O54</f>
        <v>2657.2961538461541</v>
      </c>
      <c r="P55" s="28">
        <f t="shared" ref="P55" si="319">$F$1*P54</f>
        <v>8636.2125000000015</v>
      </c>
      <c r="Q55" s="28">
        <f t="shared" ref="Q55" si="320">$F$1*Q54</f>
        <v>34544.85</v>
      </c>
      <c r="R55" s="28">
        <f t="shared" ref="R55" si="321">$F$1*R54</f>
        <v>189996.67499999999</v>
      </c>
      <c r="S55" s="28">
        <f t="shared" ref="S55" si="322">$F$1*S54</f>
        <v>1899966.7500000002</v>
      </c>
      <c r="T55" s="8"/>
      <c r="U55"/>
      <c r="V55"/>
      <c r="W55"/>
      <c r="X55"/>
      <c r="Y55"/>
      <c r="Z55"/>
      <c r="AA55"/>
      <c r="AB55"/>
    </row>
    <row r="56" spans="1:28" ht="16" thickBot="1" x14ac:dyDescent="0.25"/>
    <row r="57" spans="1:28" s="13" customFormat="1" ht="16" thickBot="1" x14ac:dyDescent="0.25">
      <c r="A57" s="3" t="s">
        <v>23</v>
      </c>
      <c r="B57" s="14" t="s">
        <v>2</v>
      </c>
      <c r="C57" s="9" t="s">
        <v>3</v>
      </c>
      <c r="D57" s="55" t="s">
        <v>5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7"/>
      <c r="T57"/>
      <c r="U57"/>
      <c r="V57"/>
      <c r="W57"/>
      <c r="X57"/>
      <c r="Y57"/>
      <c r="Z57"/>
      <c r="AA57"/>
      <c r="AB57"/>
    </row>
    <row r="58" spans="1:28" s="13" customFormat="1" ht="16" thickBot="1" x14ac:dyDescent="0.25">
      <c r="A58" s="7"/>
      <c r="B58" s="9">
        <v>10</v>
      </c>
      <c r="C58" s="6">
        <f>$C$1-B58</f>
        <v>15</v>
      </c>
      <c r="D58" s="14">
        <v>1</v>
      </c>
      <c r="E58" s="15">
        <f>D58+1</f>
        <v>2</v>
      </c>
      <c r="F58" s="15">
        <f t="shared" ref="F58:S58" si="323">E58+1</f>
        <v>3</v>
      </c>
      <c r="G58" s="15">
        <f t="shared" si="323"/>
        <v>4</v>
      </c>
      <c r="H58" s="15">
        <f t="shared" si="323"/>
        <v>5</v>
      </c>
      <c r="I58" s="15">
        <f t="shared" si="323"/>
        <v>6</v>
      </c>
      <c r="J58" s="15">
        <f t="shared" si="323"/>
        <v>7</v>
      </c>
      <c r="K58" s="15">
        <f t="shared" si="323"/>
        <v>8</v>
      </c>
      <c r="L58" s="15">
        <f t="shared" si="323"/>
        <v>9</v>
      </c>
      <c r="M58" s="15">
        <f t="shared" si="323"/>
        <v>10</v>
      </c>
      <c r="N58" s="15">
        <f t="shared" si="323"/>
        <v>11</v>
      </c>
      <c r="O58" s="15">
        <f t="shared" si="323"/>
        <v>12</v>
      </c>
      <c r="P58" s="15">
        <f t="shared" si="323"/>
        <v>13</v>
      </c>
      <c r="Q58" s="15">
        <f t="shared" si="323"/>
        <v>14</v>
      </c>
      <c r="R58" s="15">
        <f t="shared" si="323"/>
        <v>15</v>
      </c>
      <c r="S58" s="16">
        <f t="shared" si="323"/>
        <v>16</v>
      </c>
      <c r="T58"/>
      <c r="U58"/>
      <c r="V58"/>
      <c r="W58"/>
      <c r="X58"/>
      <c r="Y58"/>
      <c r="Z58"/>
      <c r="AA58"/>
      <c r="AB58"/>
    </row>
    <row r="59" spans="1:28" s="13" customFormat="1" x14ac:dyDescent="0.2">
      <c r="C59" s="10" t="s">
        <v>1</v>
      </c>
      <c r="D59" s="3">
        <f>COMBIN($C$58,D58)/COMBIN($C$1,D58)</f>
        <v>0.6</v>
      </c>
      <c r="E59" s="17">
        <f>COMBIN($C$58,E58)/COMBIN($C$1,E58)</f>
        <v>0.35</v>
      </c>
      <c r="F59" s="17">
        <f>COMBIN($C$58,F58)/COMBIN($C$1,F58)</f>
        <v>0.19782608695652176</v>
      </c>
      <c r="G59" s="17">
        <f>COMBIN($C$58,G58)/COMBIN($C$1,G58)</f>
        <v>0.10790513833992094</v>
      </c>
      <c r="H59" s="17">
        <f>COMBIN($C$58,H58)/COMBIN($C$1,H58)</f>
        <v>5.6521739130434789E-2</v>
      </c>
      <c r="I59" s="17">
        <f>COMBIN($C$58,I58)/COMBIN($C$1,I58)</f>
        <v>2.8260869565217395E-2</v>
      </c>
      <c r="J59" s="17">
        <f>COMBIN($C$58,J58)/COMBIN($C$1,J58)</f>
        <v>1.3386727688787179E-2</v>
      </c>
      <c r="K59" s="17">
        <f>COMBIN($C$58,K58)/COMBIN($C$1,K58)</f>
        <v>5.9496567505720813E-3</v>
      </c>
      <c r="L59" s="17">
        <f>COMBIN($C$58,L58)/COMBIN($C$1,L58)</f>
        <v>2.4498586620002693E-3</v>
      </c>
      <c r="M59" s="17">
        <f>COMBIN($C$58,M58)/COMBIN($C$1,M58)</f>
        <v>9.1869699825010106E-4</v>
      </c>
      <c r="N59" s="17">
        <f>COMBIN($C$58,N58)/COMBIN($C$1,N58)</f>
        <v>3.0623233275003367E-4</v>
      </c>
      <c r="O59" s="17">
        <f>COMBIN($C$58,O58)/COMBIN($C$1,O58)</f>
        <v>8.7494952214295328E-5</v>
      </c>
      <c r="P59" s="17">
        <f>COMBIN($C$58,P58)/COMBIN($C$1,P58)</f>
        <v>2.0191142818683533E-5</v>
      </c>
      <c r="Q59" s="17">
        <f>COMBIN($C$58,Q58)/COMBIN($C$1,Q58)</f>
        <v>3.3651904697805896E-6</v>
      </c>
      <c r="R59" s="17">
        <f>COMBIN($C$58,R58)/COMBIN($C$1,R58)</f>
        <v>3.0592640634369E-7</v>
      </c>
      <c r="S59" s="4"/>
      <c r="T59"/>
      <c r="U59"/>
      <c r="V59"/>
      <c r="W59"/>
      <c r="X59"/>
      <c r="Y59"/>
      <c r="Z59"/>
      <c r="AA59"/>
      <c r="AB59"/>
    </row>
    <row r="60" spans="1:28" s="13" customFormat="1" x14ac:dyDescent="0.2">
      <c r="C60" s="11" t="s">
        <v>6</v>
      </c>
      <c r="D60" s="5">
        <f>1/D59</f>
        <v>1.6666666666666667</v>
      </c>
      <c r="E60" s="13">
        <f t="shared" ref="E60" si="324">1/E59</f>
        <v>2.8571428571428572</v>
      </c>
      <c r="F60" s="13">
        <f t="shared" ref="F60" si="325">1/F59</f>
        <v>5.0549450549450547</v>
      </c>
      <c r="G60" s="13">
        <f t="shared" ref="G60" si="326">1/G59</f>
        <v>9.2673992673992682</v>
      </c>
      <c r="H60" s="13">
        <f t="shared" ref="H60" si="327">1/H59</f>
        <v>17.69230769230769</v>
      </c>
      <c r="I60" s="13">
        <f t="shared" ref="I60" si="328">1/I59</f>
        <v>35.38461538461538</v>
      </c>
      <c r="J60" s="13">
        <f t="shared" ref="J60" si="329">1/J59</f>
        <v>74.700854700854734</v>
      </c>
      <c r="K60" s="13">
        <f t="shared" ref="K60" si="330">1/K59</f>
        <v>168.07692307692309</v>
      </c>
      <c r="L60" s="13">
        <f t="shared" ref="L60" si="331">1/L59</f>
        <v>408.18681318681314</v>
      </c>
      <c r="M60" s="13">
        <f t="shared" ref="M60" si="332">1/M59</f>
        <v>1088.4981684981683</v>
      </c>
      <c r="N60" s="13">
        <f t="shared" ref="N60" si="333">1/N59</f>
        <v>3265.4945054945051</v>
      </c>
      <c r="O60" s="13">
        <f t="shared" ref="O60" si="334">1/O59</f>
        <v>11429.23076923077</v>
      </c>
      <c r="P60" s="13">
        <f t="shared" ref="P60" si="335">1/P59</f>
        <v>49526.666666666679</v>
      </c>
      <c r="Q60" s="13">
        <f t="shared" ref="Q60" si="336">1/Q59</f>
        <v>297160</v>
      </c>
      <c r="R60" s="13">
        <f t="shared" ref="R60" si="337">1/R59</f>
        <v>3268759.9999999995</v>
      </c>
      <c r="S60" s="6"/>
      <c r="T60"/>
      <c r="U60"/>
      <c r="V60"/>
      <c r="W60"/>
      <c r="X60"/>
      <c r="Y60"/>
      <c r="Z60"/>
      <c r="AA60"/>
      <c r="AB60"/>
    </row>
    <row r="61" spans="1:28" s="13" customFormat="1" ht="16" thickBot="1" x14ac:dyDescent="0.25">
      <c r="C61" s="12" t="s">
        <v>8</v>
      </c>
      <c r="D61" s="7">
        <f>$F$1*D60</f>
        <v>1.55</v>
      </c>
      <c r="E61" s="18">
        <f t="shared" ref="E61" si="338">$F$1*E60</f>
        <v>2.6571428571428575</v>
      </c>
      <c r="F61" s="18">
        <f t="shared" ref="F61" si="339">$F$1*F60</f>
        <v>4.7010989010989013</v>
      </c>
      <c r="G61" s="18">
        <f t="shared" ref="G61" si="340">$F$1*G60</f>
        <v>8.61868131868132</v>
      </c>
      <c r="H61" s="18">
        <f t="shared" ref="H61" si="341">$F$1*H60</f>
        <v>16.453846153846154</v>
      </c>
      <c r="I61" s="18">
        <f t="shared" ref="I61" si="342">$F$1*I60</f>
        <v>32.907692307692308</v>
      </c>
      <c r="J61" s="18">
        <f t="shared" ref="J61" si="343">$F$1*J60</f>
        <v>69.471794871794913</v>
      </c>
      <c r="K61" s="18">
        <f t="shared" ref="K61" si="344">$F$1*K60</f>
        <v>156.31153846153848</v>
      </c>
      <c r="L61" s="18">
        <f t="shared" ref="L61" si="345">$F$1*L60</f>
        <v>379.61373626373626</v>
      </c>
      <c r="M61" s="18">
        <f t="shared" ref="M61" si="346">$F$1*M60</f>
        <v>1012.3032967032966</v>
      </c>
      <c r="N61" s="18">
        <f t="shared" ref="N61" si="347">$F$1*N60</f>
        <v>3036.9098901098901</v>
      </c>
      <c r="O61" s="18">
        <f t="shared" ref="O61" si="348">$F$1*O60</f>
        <v>10629.184615384616</v>
      </c>
      <c r="P61" s="18">
        <f t="shared" ref="P61" si="349">$F$1*P60</f>
        <v>46059.80000000001</v>
      </c>
      <c r="Q61" s="18">
        <f t="shared" ref="Q61" si="350">$F$1*Q60</f>
        <v>276358.8</v>
      </c>
      <c r="R61" s="18">
        <f t="shared" ref="R61" si="351">$F$1*R60</f>
        <v>3039946.8</v>
      </c>
      <c r="S61" s="8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3" customFormat="1" ht="16" thickBot="1" x14ac:dyDescent="0.25">
      <c r="A63" s="3" t="s">
        <v>24</v>
      </c>
      <c r="B63" s="14" t="s">
        <v>2</v>
      </c>
      <c r="C63" s="9" t="s">
        <v>3</v>
      </c>
      <c r="D63" s="55" t="s">
        <v>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7"/>
      <c r="S63"/>
      <c r="T63"/>
      <c r="U63"/>
      <c r="V63"/>
      <c r="W63"/>
      <c r="X63"/>
      <c r="Y63"/>
      <c r="Z63"/>
      <c r="AA63"/>
      <c r="AB63"/>
    </row>
    <row r="64" spans="1:28" s="13" customFormat="1" ht="16" thickBot="1" x14ac:dyDescent="0.25">
      <c r="A64" s="7"/>
      <c r="B64" s="9">
        <v>11</v>
      </c>
      <c r="C64" s="6">
        <f>$C$1-B64</f>
        <v>14</v>
      </c>
      <c r="D64" s="14">
        <v>1</v>
      </c>
      <c r="E64" s="15">
        <f>D64+1</f>
        <v>2</v>
      </c>
      <c r="F64" s="15">
        <f t="shared" ref="F64:R64" si="352">E64+1</f>
        <v>3</v>
      </c>
      <c r="G64" s="15">
        <f t="shared" si="352"/>
        <v>4</v>
      </c>
      <c r="H64" s="15">
        <f t="shared" si="352"/>
        <v>5</v>
      </c>
      <c r="I64" s="15">
        <f t="shared" si="352"/>
        <v>6</v>
      </c>
      <c r="J64" s="15">
        <f t="shared" si="352"/>
        <v>7</v>
      </c>
      <c r="K64" s="15">
        <f t="shared" si="352"/>
        <v>8</v>
      </c>
      <c r="L64" s="15">
        <f t="shared" si="352"/>
        <v>9</v>
      </c>
      <c r="M64" s="15">
        <f t="shared" si="352"/>
        <v>10</v>
      </c>
      <c r="N64" s="15">
        <f t="shared" si="352"/>
        <v>11</v>
      </c>
      <c r="O64" s="15">
        <f t="shared" si="352"/>
        <v>12</v>
      </c>
      <c r="P64" s="15">
        <f t="shared" si="352"/>
        <v>13</v>
      </c>
      <c r="Q64" s="15">
        <f t="shared" si="352"/>
        <v>14</v>
      </c>
      <c r="R64" s="16">
        <f t="shared" si="352"/>
        <v>15</v>
      </c>
      <c r="S64"/>
      <c r="T64"/>
      <c r="U64"/>
      <c r="V64"/>
      <c r="W64"/>
      <c r="X64"/>
      <c r="Y64"/>
      <c r="Z64"/>
      <c r="AA64"/>
      <c r="AB64"/>
    </row>
    <row r="65" spans="1:28" s="13" customFormat="1" x14ac:dyDescent="0.2">
      <c r="C65" s="10" t="s">
        <v>1</v>
      </c>
      <c r="D65" s="3">
        <f>COMBIN($C$64,D64)/COMBIN($C$1,D64)</f>
        <v>0.56000000000000005</v>
      </c>
      <c r="E65" s="17">
        <f>COMBIN($C$64,E64)/COMBIN($C$1,E64)</f>
        <v>0.30333333333333334</v>
      </c>
      <c r="F65" s="17">
        <f>COMBIN($C$64,F64)/COMBIN($C$1,F64)</f>
        <v>0.1582608695652174</v>
      </c>
      <c r="G65" s="17">
        <f>COMBIN($C$64,G64)/COMBIN($C$1,G64)</f>
        <v>7.9130434782608686E-2</v>
      </c>
      <c r="H65" s="17">
        <f>COMBIN($C$64,H64)/COMBIN($C$1,H64)</f>
        <v>3.7681159420289857E-2</v>
      </c>
      <c r="I65" s="17">
        <f>COMBIN($C$64,I64)/COMBIN($C$1,I64)</f>
        <v>1.6956521739130436E-2</v>
      </c>
      <c r="J65" s="17">
        <f>COMBIN($C$64,J64)/COMBIN($C$1,J64)</f>
        <v>7.139588100686497E-3</v>
      </c>
      <c r="K65" s="17">
        <f>COMBIN($C$64,K64)/COMBIN($C$1,K64)</f>
        <v>2.7765064836003045E-3</v>
      </c>
      <c r="L65" s="17">
        <f>COMBIN($C$64,L64)/COMBIN($C$1,L64)</f>
        <v>9.7994346480010774E-4</v>
      </c>
      <c r="M65" s="17">
        <f>COMBIN($C$64,M64)/COMBIN($C$1,M64)</f>
        <v>3.0623233275003372E-4</v>
      </c>
      <c r="N65" s="17">
        <f>COMBIN($C$64,N64)/COMBIN($C$1,N64)</f>
        <v>8.1661955400008974E-5</v>
      </c>
      <c r="O65" s="17">
        <f>COMBIN($C$64,O64)/COMBIN($C$1,O64)</f>
        <v>1.7498990442859063E-5</v>
      </c>
      <c r="P65" s="17">
        <f>COMBIN($C$64,P64)/COMBIN($C$1,P64)</f>
        <v>2.6921523758244713E-6</v>
      </c>
      <c r="Q65" s="17">
        <f>COMBIN($C$64,Q64)/COMBIN($C$1,Q64)</f>
        <v>2.2434603131870596E-7</v>
      </c>
      <c r="R65" s="4">
        <f t="shared" ref="R65" si="353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3" customFormat="1" x14ac:dyDescent="0.2">
      <c r="C66" s="11" t="s">
        <v>6</v>
      </c>
      <c r="D66" s="37">
        <f>1/D65</f>
        <v>1.7857142857142856</v>
      </c>
      <c r="E66" s="24">
        <f t="shared" ref="E66" si="354">1/E65</f>
        <v>3.2967032967032965</v>
      </c>
      <c r="F66" s="24">
        <f t="shared" ref="F66" si="355">1/F65</f>
        <v>6.3186813186813184</v>
      </c>
      <c r="G66" s="24">
        <f t="shared" ref="G66" si="356">1/G65</f>
        <v>12.637362637362639</v>
      </c>
      <c r="H66" s="24">
        <f t="shared" ref="H66" si="357">1/H65</f>
        <v>26.538461538461537</v>
      </c>
      <c r="I66" s="24">
        <f t="shared" ref="I66" si="358">1/I65</f>
        <v>58.974358974358971</v>
      </c>
      <c r="J66" s="24">
        <f t="shared" ref="J66" si="359">1/J65</f>
        <v>140.0641025641026</v>
      </c>
      <c r="K66" s="24">
        <f t="shared" ref="K66" si="360">1/K65</f>
        <v>360.16483516483527</v>
      </c>
      <c r="L66" s="24">
        <f t="shared" ref="L66" si="361">1/L65</f>
        <v>1020.4670329670329</v>
      </c>
      <c r="M66" s="24">
        <f t="shared" ref="M66" si="362">1/M65</f>
        <v>3265.4945054945047</v>
      </c>
      <c r="N66" s="24">
        <f t="shared" ref="N66" si="363">1/N65</f>
        <v>12245.604395604396</v>
      </c>
      <c r="O66" s="24">
        <f t="shared" ref="O66" si="364">1/O65</f>
        <v>57146.153846153858</v>
      </c>
      <c r="P66" s="24">
        <f t="shared" ref="P66" si="365">1/P65</f>
        <v>371450.00000000006</v>
      </c>
      <c r="Q66" s="24">
        <f t="shared" ref="Q66" si="366">1/Q65</f>
        <v>4457400</v>
      </c>
      <c r="R66" s="6"/>
      <c r="S66"/>
      <c r="T66"/>
      <c r="U66"/>
      <c r="V66"/>
      <c r="W66"/>
      <c r="X66"/>
      <c r="Y66"/>
      <c r="Z66"/>
      <c r="AA66"/>
      <c r="AB66"/>
    </row>
    <row r="67" spans="1:28" s="13" customFormat="1" ht="16" thickBot="1" x14ac:dyDescent="0.25">
      <c r="C67" s="12" t="s">
        <v>8</v>
      </c>
      <c r="D67" s="34">
        <f>$F$1*D66</f>
        <v>1.6607142857142856</v>
      </c>
      <c r="E67" s="25">
        <f t="shared" ref="E67" si="367">$F$1*E66</f>
        <v>3.0659340659340661</v>
      </c>
      <c r="F67" s="25">
        <f t="shared" ref="F67" si="368">$F$1*F66</f>
        <v>5.8763736263736268</v>
      </c>
      <c r="G67" s="25">
        <f t="shared" ref="G67" si="369">$F$1*G66</f>
        <v>11.752747252747255</v>
      </c>
      <c r="H67" s="25">
        <f t="shared" ref="H67" si="370">$F$1*H66</f>
        <v>24.680769230769229</v>
      </c>
      <c r="I67" s="25">
        <f t="shared" ref="I67" si="371">$F$1*I66</f>
        <v>54.846153846153847</v>
      </c>
      <c r="J67" s="25">
        <f t="shared" ref="J67" si="372">$F$1*J66</f>
        <v>130.25961538461542</v>
      </c>
      <c r="K67" s="25">
        <f t="shared" ref="K67" si="373">$F$1*K66</f>
        <v>334.95329670329681</v>
      </c>
      <c r="L67" s="25">
        <f t="shared" ref="L67" si="374">$F$1*L66</f>
        <v>949.03434065934061</v>
      </c>
      <c r="M67" s="25">
        <f t="shared" ref="M67" si="375">$F$1*M66</f>
        <v>3036.9098901098896</v>
      </c>
      <c r="N67" s="25">
        <f t="shared" ref="N67" si="376">$F$1*N66</f>
        <v>11388.412087912089</v>
      </c>
      <c r="O67" s="25">
        <f t="shared" ref="O67" si="377">$F$1*O66</f>
        <v>53145.923076923093</v>
      </c>
      <c r="P67" s="25">
        <f t="shared" ref="P67" si="378">$F$1*P66</f>
        <v>345448.50000000006</v>
      </c>
      <c r="Q67" s="25">
        <f t="shared" ref="Q67" si="379">$F$1*Q66</f>
        <v>4145382</v>
      </c>
      <c r="R67" s="8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3" customFormat="1" ht="16" thickBot="1" x14ac:dyDescent="0.25">
      <c r="A69" s="3" t="s">
        <v>25</v>
      </c>
      <c r="B69" s="14" t="s">
        <v>2</v>
      </c>
      <c r="C69" s="9" t="s">
        <v>3</v>
      </c>
      <c r="D69" s="55" t="s">
        <v>5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7"/>
      <c r="R69"/>
      <c r="S69"/>
      <c r="T69"/>
      <c r="U69"/>
      <c r="V69"/>
      <c r="W69"/>
      <c r="X69"/>
      <c r="Y69"/>
      <c r="Z69"/>
      <c r="AA69"/>
      <c r="AB69"/>
    </row>
    <row r="70" spans="1:28" s="13" customFormat="1" ht="16" thickBot="1" x14ac:dyDescent="0.25">
      <c r="A70" s="7"/>
      <c r="B70" s="9">
        <v>12</v>
      </c>
      <c r="C70" s="6">
        <f>$C$1-B70</f>
        <v>13</v>
      </c>
      <c r="D70" s="14">
        <v>1</v>
      </c>
      <c r="E70" s="15">
        <f>D70+1</f>
        <v>2</v>
      </c>
      <c r="F70" s="15">
        <f t="shared" ref="F70:Q70" si="380">E70+1</f>
        <v>3</v>
      </c>
      <c r="G70" s="15">
        <f t="shared" si="380"/>
        <v>4</v>
      </c>
      <c r="H70" s="15">
        <f t="shared" si="380"/>
        <v>5</v>
      </c>
      <c r="I70" s="15">
        <f t="shared" si="380"/>
        <v>6</v>
      </c>
      <c r="J70" s="15">
        <f t="shared" si="380"/>
        <v>7</v>
      </c>
      <c r="K70" s="15">
        <f t="shared" si="380"/>
        <v>8</v>
      </c>
      <c r="L70" s="15">
        <f t="shared" si="380"/>
        <v>9</v>
      </c>
      <c r="M70" s="15">
        <f t="shared" si="380"/>
        <v>10</v>
      </c>
      <c r="N70" s="15">
        <f t="shared" si="380"/>
        <v>11</v>
      </c>
      <c r="O70" s="15">
        <f t="shared" si="380"/>
        <v>12</v>
      </c>
      <c r="P70" s="15">
        <f t="shared" si="380"/>
        <v>13</v>
      </c>
      <c r="Q70" s="16">
        <f t="shared" si="380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3" customFormat="1" x14ac:dyDescent="0.2">
      <c r="C71" s="10" t="s">
        <v>1</v>
      </c>
      <c r="D71" s="3">
        <f>COMBIN($C$70,D70)/COMBIN($C$1,D70)</f>
        <v>0.52</v>
      </c>
      <c r="E71" s="17">
        <f>COMBIN($C$70,E70)/COMBIN($C$1,E70)</f>
        <v>0.26</v>
      </c>
      <c r="F71" s="17">
        <f>COMBIN($C$70,F70)/COMBIN($C$1,F70)</f>
        <v>0.12434782608695652</v>
      </c>
      <c r="G71" s="17">
        <f>COMBIN($C$70,G70)/COMBIN($C$1,G70)</f>
        <v>5.6521739130434775E-2</v>
      </c>
      <c r="H71" s="17">
        <f>COMBIN($C$70,H70)/COMBIN($C$1,H70)</f>
        <v>2.4223602484472053E-2</v>
      </c>
      <c r="I71" s="17">
        <f>COMBIN($C$70,I70)/COMBIN($C$1,I70)</f>
        <v>9.6894409937888209E-3</v>
      </c>
      <c r="J71" s="17">
        <f>COMBIN($C$70,J70)/COMBIN($C$1,J70)</f>
        <v>3.5697940503432485E-3</v>
      </c>
      <c r="K71" s="17">
        <f>COMBIN($C$70,K70)/COMBIN($C$1,K70)</f>
        <v>1.1899313501144164E-3</v>
      </c>
      <c r="L71" s="17">
        <f>COMBIN($C$70,L70)/COMBIN($C$1,L70)</f>
        <v>3.4997980885718131E-4</v>
      </c>
      <c r="M71" s="17">
        <f>COMBIN($C$70,M70)/COMBIN($C$1,M70)</f>
        <v>8.7494952214295341E-5</v>
      </c>
      <c r="N71" s="17">
        <f>COMBIN($C$70,N70)/COMBIN($C$1,N70)</f>
        <v>1.7498990442859066E-5</v>
      </c>
      <c r="O71" s="17">
        <f>COMBIN($C$70,O70)/COMBIN($C$1,O70)</f>
        <v>2.4998557775512948E-6</v>
      </c>
      <c r="P71" s="17">
        <f>COMBIN($C$70,P70)/COMBIN($C$1,P70)</f>
        <v>1.9229659827317651E-7</v>
      </c>
      <c r="Q71" s="4"/>
      <c r="R71"/>
      <c r="S71"/>
      <c r="T71"/>
      <c r="U71"/>
      <c r="V71"/>
      <c r="W71"/>
      <c r="X71"/>
      <c r="Y71"/>
      <c r="Z71"/>
      <c r="AA71"/>
      <c r="AB71"/>
    </row>
    <row r="72" spans="1:28" s="13" customFormat="1" x14ac:dyDescent="0.2">
      <c r="C72" s="11" t="s">
        <v>6</v>
      </c>
      <c r="D72" s="5">
        <f>1/D71</f>
        <v>1.9230769230769229</v>
      </c>
      <c r="E72" s="13">
        <f t="shared" ref="E72" si="381">1/E71</f>
        <v>3.8461538461538458</v>
      </c>
      <c r="F72" s="13">
        <f t="shared" ref="F72" si="382">1/F71</f>
        <v>8.0419580419580416</v>
      </c>
      <c r="G72" s="13">
        <f t="shared" ref="G72" si="383">1/G71</f>
        <v>17.692307692307693</v>
      </c>
      <c r="H72" s="13">
        <f t="shared" ref="H72" si="384">1/H71</f>
        <v>41.282051282051277</v>
      </c>
      <c r="I72" s="13">
        <f t="shared" ref="I72" si="385">1/I71</f>
        <v>103.20512820512819</v>
      </c>
      <c r="J72" s="13">
        <f t="shared" ref="J72" si="386">1/J71</f>
        <v>280.1282051282052</v>
      </c>
      <c r="K72" s="13">
        <f t="shared" ref="K72" si="387">1/K71</f>
        <v>840.38461538461547</v>
      </c>
      <c r="L72" s="13">
        <f t="shared" ref="L72" si="388">1/L71</f>
        <v>2857.3076923076924</v>
      </c>
      <c r="M72" s="13">
        <f t="shared" ref="M72" si="389">1/M71</f>
        <v>11429.230769230768</v>
      </c>
      <c r="N72" s="13">
        <f t="shared" ref="N72" si="390">1/N71</f>
        <v>57146.153846153844</v>
      </c>
      <c r="O72" s="13">
        <f t="shared" ref="O72" si="391">1/O71</f>
        <v>400023.07692307699</v>
      </c>
      <c r="P72" s="13">
        <f t="shared" ref="P72" si="392">1/P71</f>
        <v>5200300.0000000009</v>
      </c>
      <c r="Q72" s="6"/>
      <c r="R72"/>
      <c r="S72"/>
      <c r="T72"/>
      <c r="U72"/>
      <c r="V72"/>
      <c r="W72"/>
      <c r="X72"/>
      <c r="Y72"/>
      <c r="Z72"/>
      <c r="AA72"/>
      <c r="AB72"/>
    </row>
    <row r="73" spans="1:28" s="13" customFormat="1" ht="16" thickBot="1" x14ac:dyDescent="0.25">
      <c r="C73" s="12" t="s">
        <v>8</v>
      </c>
      <c r="D73" s="7">
        <f>$F$1*D72</f>
        <v>1.7884615384615383</v>
      </c>
      <c r="E73" s="18">
        <f t="shared" ref="E73" si="393">$F$1*E72</f>
        <v>3.5769230769230766</v>
      </c>
      <c r="F73" s="18">
        <f t="shared" ref="F73" si="394">$F$1*F72</f>
        <v>7.4790209790209792</v>
      </c>
      <c r="G73" s="18">
        <f t="shared" ref="G73" si="395">$F$1*G72</f>
        <v>16.453846153846154</v>
      </c>
      <c r="H73" s="18">
        <f t="shared" ref="H73" si="396">$F$1*H72</f>
        <v>38.392307692307689</v>
      </c>
      <c r="I73" s="18">
        <f t="shared" ref="I73" si="397">$F$1*I72</f>
        <v>95.980769230769226</v>
      </c>
      <c r="J73" s="18">
        <f t="shared" ref="J73" si="398">$F$1*J72</f>
        <v>260.51923076923083</v>
      </c>
      <c r="K73" s="18">
        <f t="shared" ref="K73" si="399">$F$1*K72</f>
        <v>781.55769230769238</v>
      </c>
      <c r="L73" s="18">
        <f t="shared" ref="L73" si="400">$F$1*L72</f>
        <v>2657.2961538461541</v>
      </c>
      <c r="M73" s="18">
        <f t="shared" ref="M73" si="401">$F$1*M72</f>
        <v>10629.184615384615</v>
      </c>
      <c r="N73" s="18">
        <f t="shared" ref="N73" si="402">$F$1*N72</f>
        <v>53145.923076923078</v>
      </c>
      <c r="O73" s="18">
        <f t="shared" ref="O73" si="403">$F$1*O72</f>
        <v>372021.46153846162</v>
      </c>
      <c r="P73" s="18">
        <f t="shared" ref="P73" si="404">$F$1*P72</f>
        <v>4836279.0000000009</v>
      </c>
      <c r="Q73" s="8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3" customFormat="1" ht="16" thickBot="1" x14ac:dyDescent="0.25">
      <c r="A75" s="3" t="s">
        <v>26</v>
      </c>
      <c r="B75" s="14" t="s">
        <v>2</v>
      </c>
      <c r="C75" s="9" t="s">
        <v>3</v>
      </c>
      <c r="D75" s="55" t="s">
        <v>5</v>
      </c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7"/>
      <c r="Q75"/>
      <c r="R75"/>
      <c r="S75"/>
      <c r="T75"/>
      <c r="U75"/>
      <c r="V75"/>
      <c r="W75"/>
      <c r="X75"/>
      <c r="Y75"/>
      <c r="Z75"/>
      <c r="AA75"/>
      <c r="AB75"/>
    </row>
    <row r="76" spans="1:28" s="13" customFormat="1" ht="16" thickBot="1" x14ac:dyDescent="0.25">
      <c r="A76" s="7"/>
      <c r="B76" s="9">
        <v>13</v>
      </c>
      <c r="C76" s="6">
        <f>$C$1-B76</f>
        <v>12</v>
      </c>
      <c r="D76" s="14">
        <v>1</v>
      </c>
      <c r="E76" s="15">
        <f>D76+1</f>
        <v>2</v>
      </c>
      <c r="F76" s="15">
        <f t="shared" ref="F76:P76" si="405">E76+1</f>
        <v>3</v>
      </c>
      <c r="G76" s="15">
        <f t="shared" si="405"/>
        <v>4</v>
      </c>
      <c r="H76" s="15">
        <f t="shared" si="405"/>
        <v>5</v>
      </c>
      <c r="I76" s="15">
        <f t="shared" si="405"/>
        <v>6</v>
      </c>
      <c r="J76" s="15">
        <f t="shared" si="405"/>
        <v>7</v>
      </c>
      <c r="K76" s="15">
        <f t="shared" si="405"/>
        <v>8</v>
      </c>
      <c r="L76" s="15">
        <f t="shared" si="405"/>
        <v>9</v>
      </c>
      <c r="M76" s="15">
        <f t="shared" si="405"/>
        <v>10</v>
      </c>
      <c r="N76" s="15">
        <f t="shared" si="405"/>
        <v>11</v>
      </c>
      <c r="O76" s="15">
        <f t="shared" si="405"/>
        <v>12</v>
      </c>
      <c r="P76" s="16">
        <f t="shared" si="405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3" customFormat="1" x14ac:dyDescent="0.2">
      <c r="C77" s="10" t="s">
        <v>1</v>
      </c>
      <c r="D77" s="3">
        <f>COMBIN($C$76,D76)/COMBIN($C$1,D76)</f>
        <v>0.48</v>
      </c>
      <c r="E77" s="17">
        <f>COMBIN($C$76,E76)/COMBIN($C$1,E76)</f>
        <v>0.22</v>
      </c>
      <c r="F77" s="17">
        <f>COMBIN($C$76,F76)/COMBIN($C$1,F76)</f>
        <v>9.5652173913043481E-2</v>
      </c>
      <c r="G77" s="17">
        <f>COMBIN($C$76,G76)/COMBIN($C$1,G76)</f>
        <v>3.9130434782608692E-2</v>
      </c>
      <c r="H77" s="17">
        <f>COMBIN($C$76,H76)/COMBIN($C$1,H76)</f>
        <v>1.4906832298136647E-2</v>
      </c>
      <c r="I77" s="17">
        <f>COMBIN($C$76,I76)/COMBIN($C$1,I76)</f>
        <v>5.2173913043478256E-3</v>
      </c>
      <c r="J77" s="17">
        <f>COMBIN($C$76,J76)/COMBIN($C$1,J76)</f>
        <v>1.6475972540045763E-3</v>
      </c>
      <c r="K77" s="17">
        <f>COMBIN($C$76,K76)/COMBIN($C$1,K76)</f>
        <v>4.5766590389016021E-4</v>
      </c>
      <c r="L77" s="17">
        <f>COMBIN($C$76,L76)/COMBIN($C$1,L76)</f>
        <v>1.0768609503297887E-4</v>
      </c>
      <c r="M77" s="17">
        <f>COMBIN($C$76,M76)/COMBIN($C$1,M76)</f>
        <v>2.0191142818683539E-5</v>
      </c>
      <c r="N77" s="17">
        <f>COMBIN($C$76,N76)/COMBIN($C$1,N76)</f>
        <v>2.6921523758244718E-6</v>
      </c>
      <c r="O77" s="17">
        <f>COMBIN($C$76,O76)/COMBIN($C$1,O76)</f>
        <v>1.9229659827317651E-7</v>
      </c>
      <c r="P77" s="4"/>
      <c r="Q77"/>
      <c r="R77"/>
      <c r="S77"/>
      <c r="T77"/>
      <c r="U77"/>
      <c r="V77"/>
      <c r="W77"/>
      <c r="X77"/>
      <c r="Y77"/>
      <c r="Z77"/>
      <c r="AA77"/>
      <c r="AB77"/>
    </row>
    <row r="78" spans="1:28" s="13" customFormat="1" x14ac:dyDescent="0.2">
      <c r="C78" s="11" t="s">
        <v>6</v>
      </c>
      <c r="D78" s="5">
        <f>1/D77</f>
        <v>2.0833333333333335</v>
      </c>
      <c r="E78" s="13">
        <f t="shared" ref="E78" si="406">1/E77</f>
        <v>4.5454545454545459</v>
      </c>
      <c r="F78" s="13">
        <f t="shared" ref="F78" si="407">1/F77</f>
        <v>10.454545454545455</v>
      </c>
      <c r="G78" s="13">
        <f t="shared" ref="G78" si="408">1/G77</f>
        <v>25.555555555555557</v>
      </c>
      <c r="H78" s="13">
        <f t="shared" ref="H78" si="409">1/H77</f>
        <v>67.083333333333329</v>
      </c>
      <c r="I78" s="13">
        <f t="shared" ref="I78" si="410">1/I77</f>
        <v>191.66666666666669</v>
      </c>
      <c r="J78" s="13">
        <f t="shared" ref="J78" si="411">1/J77</f>
        <v>606.94444444444457</v>
      </c>
      <c r="K78" s="13">
        <f t="shared" ref="K78" si="412">1/K77</f>
        <v>2185</v>
      </c>
      <c r="L78" s="13">
        <f t="shared" ref="L78" si="413">1/L77</f>
        <v>9286.25</v>
      </c>
      <c r="M78" s="13">
        <f t="shared" ref="M78" si="414">1/M77</f>
        <v>49526.666666666664</v>
      </c>
      <c r="N78" s="13">
        <f t="shared" ref="N78" si="415">1/N77</f>
        <v>371450</v>
      </c>
      <c r="O78" s="13">
        <f t="shared" ref="O78" si="416">1/O77</f>
        <v>5200300.0000000009</v>
      </c>
      <c r="P78" s="6"/>
      <c r="Q78"/>
      <c r="R78"/>
      <c r="S78"/>
      <c r="T78"/>
      <c r="U78"/>
      <c r="V78"/>
      <c r="W78"/>
      <c r="X78"/>
      <c r="Y78"/>
      <c r="Z78"/>
      <c r="AA78"/>
      <c r="AB78"/>
    </row>
    <row r="79" spans="1:28" s="13" customFormat="1" ht="16" thickBot="1" x14ac:dyDescent="0.25">
      <c r="C79" s="12" t="s">
        <v>8</v>
      </c>
      <c r="D79" s="7">
        <f>$F$1*D78</f>
        <v>1.9375000000000002</v>
      </c>
      <c r="E79" s="18">
        <f t="shared" ref="E79" si="417">$F$1*E78</f>
        <v>4.2272727272727275</v>
      </c>
      <c r="F79" s="18">
        <f t="shared" ref="F79" si="418">$F$1*F78</f>
        <v>9.7227272727272744</v>
      </c>
      <c r="G79" s="18">
        <f t="shared" ref="G79" si="419">$F$1*G78</f>
        <v>23.766666666666669</v>
      </c>
      <c r="H79" s="18">
        <f t="shared" ref="H79" si="420">$F$1*H78</f>
        <v>62.387499999999996</v>
      </c>
      <c r="I79" s="18">
        <f t="shared" ref="I79" si="421">$F$1*I78</f>
        <v>178.25000000000003</v>
      </c>
      <c r="J79" s="18">
        <f t="shared" ref="J79" si="422">$F$1*J78</f>
        <v>564.45833333333348</v>
      </c>
      <c r="K79" s="18">
        <f t="shared" ref="K79" si="423">$F$1*K78</f>
        <v>2032.0500000000002</v>
      </c>
      <c r="L79" s="18">
        <f t="shared" ref="L79" si="424">$F$1*L78</f>
        <v>8636.2124999999996</v>
      </c>
      <c r="M79" s="18">
        <f t="shared" ref="M79" si="425">$F$1*M78</f>
        <v>46059.8</v>
      </c>
      <c r="N79" s="18">
        <f t="shared" ref="N79" si="426">$F$1*N78</f>
        <v>345448.5</v>
      </c>
      <c r="O79" s="18">
        <f t="shared" ref="O79" si="427">$F$1*O78</f>
        <v>4836279.0000000009</v>
      </c>
      <c r="P79" s="8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3" customFormat="1" ht="16" thickBot="1" x14ac:dyDescent="0.25">
      <c r="A81" s="3" t="s">
        <v>27</v>
      </c>
      <c r="B81" s="14" t="s">
        <v>2</v>
      </c>
      <c r="C81" s="9" t="s">
        <v>3</v>
      </c>
      <c r="D81" s="55" t="s">
        <v>5</v>
      </c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7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3" customFormat="1" ht="16" thickBot="1" x14ac:dyDescent="0.25">
      <c r="A82" s="7"/>
      <c r="B82" s="9">
        <v>14</v>
      </c>
      <c r="C82" s="6">
        <f>$C$1-B82</f>
        <v>11</v>
      </c>
      <c r="D82" s="14">
        <v>1</v>
      </c>
      <c r="E82" s="15">
        <f>D82+1</f>
        <v>2</v>
      </c>
      <c r="F82" s="15">
        <f t="shared" ref="F82:O82" si="428">E82+1</f>
        <v>3</v>
      </c>
      <c r="G82" s="15">
        <f t="shared" si="428"/>
        <v>4</v>
      </c>
      <c r="H82" s="15">
        <f t="shared" si="428"/>
        <v>5</v>
      </c>
      <c r="I82" s="15">
        <f t="shared" si="428"/>
        <v>6</v>
      </c>
      <c r="J82" s="15">
        <f t="shared" si="428"/>
        <v>7</v>
      </c>
      <c r="K82" s="15">
        <f t="shared" si="428"/>
        <v>8</v>
      </c>
      <c r="L82" s="15">
        <f t="shared" si="428"/>
        <v>9</v>
      </c>
      <c r="M82" s="15">
        <f t="shared" si="428"/>
        <v>10</v>
      </c>
      <c r="N82" s="15">
        <f t="shared" si="428"/>
        <v>11</v>
      </c>
      <c r="O82" s="16">
        <f t="shared" si="428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3" customFormat="1" x14ac:dyDescent="0.2">
      <c r="C83" s="10" t="s">
        <v>1</v>
      </c>
      <c r="D83" s="3">
        <f>COMBIN($C$82,D82)/COMBIN($C$1,D82)</f>
        <v>0.44</v>
      </c>
      <c r="E83" s="17">
        <f>COMBIN($C$82,E82)/COMBIN($C$1,E82)</f>
        <v>0.18333333333333332</v>
      </c>
      <c r="F83" s="17">
        <f>COMBIN($C$82,F82)/COMBIN($C$1,F82)</f>
        <v>7.1739130434782611E-2</v>
      </c>
      <c r="G83" s="17">
        <f>COMBIN($C$82,G82)/COMBIN($C$1,G82)</f>
        <v>2.6086956521739126E-2</v>
      </c>
      <c r="H83" s="17">
        <f>COMBIN($C$82,H82)/COMBIN($C$1,H82)</f>
        <v>8.6956521739130436E-3</v>
      </c>
      <c r="I83" s="17">
        <f>COMBIN($C$82,I82)/COMBIN($C$1,I82)</f>
        <v>2.6086956521739132E-3</v>
      </c>
      <c r="J83" s="17">
        <f>COMBIN($C$82,J82)/COMBIN($C$1,J82)</f>
        <v>6.8649885583524015E-4</v>
      </c>
      <c r="K83" s="17">
        <f>COMBIN($C$82,K82)/COMBIN($C$1,K82)</f>
        <v>1.5255530129672007E-4</v>
      </c>
      <c r="L83" s="17">
        <f>COMBIN($C$82,L82)/COMBIN($C$1,L82)</f>
        <v>2.6921523758244717E-5</v>
      </c>
      <c r="M83" s="17">
        <f>COMBIN($C$82,M82)/COMBIN($C$1,M82)</f>
        <v>3.36519046978059E-6</v>
      </c>
      <c r="N83" s="17">
        <f>COMBIN($C$82,N82)/COMBIN($C$1,N82)</f>
        <v>2.2434603131870596E-7</v>
      </c>
      <c r="O83" s="4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3" customFormat="1" x14ac:dyDescent="0.2">
      <c r="C84" s="11" t="s">
        <v>6</v>
      </c>
      <c r="D84" s="5">
        <f>1/D83</f>
        <v>2.2727272727272729</v>
      </c>
      <c r="E84" s="13">
        <f t="shared" ref="E84" si="429">1/E83</f>
        <v>5.454545454545455</v>
      </c>
      <c r="F84" s="13">
        <f t="shared" ref="F84" si="430">1/F83</f>
        <v>13.939393939393939</v>
      </c>
      <c r="G84" s="13">
        <f t="shared" ref="G84" si="431">1/G83</f>
        <v>38.333333333333343</v>
      </c>
      <c r="H84" s="13">
        <f t="shared" ref="H84" si="432">1/H83</f>
        <v>115</v>
      </c>
      <c r="I84" s="13">
        <f t="shared" ref="I84" si="433">1/I83</f>
        <v>383.33333333333331</v>
      </c>
      <c r="J84" s="13">
        <f t="shared" ref="J84" si="434">1/J83</f>
        <v>1456.666666666667</v>
      </c>
      <c r="K84" s="13">
        <f t="shared" ref="K84" si="435">1/K83</f>
        <v>6555</v>
      </c>
      <c r="L84" s="13">
        <f t="shared" ref="L84" si="436">1/L83</f>
        <v>37145</v>
      </c>
      <c r="M84" s="13">
        <f t="shared" ref="M84" si="437">1/M83</f>
        <v>297159.99999999994</v>
      </c>
      <c r="N84" s="13">
        <f t="shared" ref="N84" si="438">1/N83</f>
        <v>4457400</v>
      </c>
      <c r="O84" s="6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3" customFormat="1" ht="16" thickBot="1" x14ac:dyDescent="0.25">
      <c r="C85" s="12" t="s">
        <v>8</v>
      </c>
      <c r="D85" s="7">
        <f>$F$1*D84</f>
        <v>2.1136363636363638</v>
      </c>
      <c r="E85" s="18">
        <f t="shared" ref="E85" si="439">$F$1*E84</f>
        <v>5.0727272727272732</v>
      </c>
      <c r="F85" s="18">
        <f t="shared" ref="F85" si="440">$F$1*F84</f>
        <v>12.963636363636365</v>
      </c>
      <c r="G85" s="18">
        <f t="shared" ref="G85" si="441">$F$1*G84</f>
        <v>35.650000000000013</v>
      </c>
      <c r="H85" s="18">
        <f t="shared" ref="H85" si="442">$F$1*H84</f>
        <v>106.95</v>
      </c>
      <c r="I85" s="18">
        <f t="shared" ref="I85" si="443">$F$1*I84</f>
        <v>356.5</v>
      </c>
      <c r="J85" s="18">
        <f t="shared" ref="J85" si="444">$F$1*J84</f>
        <v>1354.7000000000003</v>
      </c>
      <c r="K85" s="18">
        <f t="shared" ref="K85" si="445">$F$1*K84</f>
        <v>6096.1500000000005</v>
      </c>
      <c r="L85" s="18">
        <f t="shared" ref="L85" si="446">$F$1*L84</f>
        <v>34544.85</v>
      </c>
      <c r="M85" s="18">
        <f t="shared" ref="M85" si="447">$F$1*M84</f>
        <v>276358.8</v>
      </c>
      <c r="N85" s="18">
        <f t="shared" ref="N85" si="448">$F$1*N84</f>
        <v>4145382</v>
      </c>
      <c r="O85" s="8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3" customFormat="1" ht="16" thickBot="1" x14ac:dyDescent="0.25">
      <c r="A87" s="3" t="s">
        <v>28</v>
      </c>
      <c r="B87" s="14" t="s">
        <v>2</v>
      </c>
      <c r="C87" s="9" t="s">
        <v>3</v>
      </c>
      <c r="D87" s="55" t="s">
        <v>5</v>
      </c>
      <c r="E87" s="56"/>
      <c r="F87" s="56"/>
      <c r="G87" s="56"/>
      <c r="H87" s="56"/>
      <c r="I87" s="56"/>
      <c r="J87" s="56"/>
      <c r="K87" s="56"/>
      <c r="L87" s="56"/>
      <c r="M87" s="56"/>
      <c r="N87" s="5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3" customFormat="1" ht="16" thickBot="1" x14ac:dyDescent="0.25">
      <c r="A88" s="7"/>
      <c r="B88" s="9">
        <v>15</v>
      </c>
      <c r="C88" s="6">
        <f>$C$1-B88</f>
        <v>10</v>
      </c>
      <c r="D88" s="14">
        <v>1</v>
      </c>
      <c r="E88" s="15">
        <f>D88+1</f>
        <v>2</v>
      </c>
      <c r="F88" s="15">
        <f t="shared" ref="F88:N88" si="449">E88+1</f>
        <v>3</v>
      </c>
      <c r="G88" s="15">
        <f t="shared" si="449"/>
        <v>4</v>
      </c>
      <c r="H88" s="15">
        <f t="shared" si="449"/>
        <v>5</v>
      </c>
      <c r="I88" s="15">
        <f t="shared" si="449"/>
        <v>6</v>
      </c>
      <c r="J88" s="15">
        <f t="shared" si="449"/>
        <v>7</v>
      </c>
      <c r="K88" s="15">
        <f t="shared" si="449"/>
        <v>8</v>
      </c>
      <c r="L88" s="15">
        <f t="shared" si="449"/>
        <v>9</v>
      </c>
      <c r="M88" s="15">
        <f t="shared" si="449"/>
        <v>10</v>
      </c>
      <c r="N88" s="16">
        <f t="shared" si="449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3" customFormat="1" x14ac:dyDescent="0.2">
      <c r="C89" s="10" t="s">
        <v>1</v>
      </c>
      <c r="D89" s="3">
        <f>COMBIN($C$88,D88)/COMBIN($C$1,D88)</f>
        <v>0.4</v>
      </c>
      <c r="E89" s="17">
        <f>COMBIN($C$88,E88)/COMBIN($C$1,E88)</f>
        <v>0.15</v>
      </c>
      <c r="F89" s="17">
        <f>COMBIN($C$88,F88)/COMBIN($C$1,F88)</f>
        <v>5.2173913043478258E-2</v>
      </c>
      <c r="G89" s="17">
        <f>COMBIN($C$88,G88)/COMBIN($C$1,G88)</f>
        <v>1.6600790513833986E-2</v>
      </c>
      <c r="H89" s="17">
        <f>COMBIN($C$88,H88)/COMBIN($C$1,H88)</f>
        <v>4.7430830039525695E-3</v>
      </c>
      <c r="I89" s="17">
        <f>COMBIN($C$88,I88)/COMBIN($C$1,I88)</f>
        <v>1.1857707509881424E-3</v>
      </c>
      <c r="J89" s="17">
        <f>COMBIN($C$88,J88)/COMBIN($C$1,J88)</f>
        <v>2.4963594757645096E-4</v>
      </c>
      <c r="K89" s="17">
        <f>COMBIN($C$88,K88)/COMBIN($C$1,K88)</f>
        <v>4.1605991262741838E-5</v>
      </c>
      <c r="L89" s="17">
        <f>COMBIN($C$88,L88)/COMBIN($C$1,L88)</f>
        <v>4.8948225014990391E-6</v>
      </c>
      <c r="M89" s="17">
        <f>COMBIN($C$88,M88)/COMBIN($C$1,M88)</f>
        <v>3.0592640634369E-7</v>
      </c>
      <c r="N89" s="4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3" customFormat="1" x14ac:dyDescent="0.2">
      <c r="C90" s="11" t="s">
        <v>6</v>
      </c>
      <c r="D90" s="5">
        <f>1/D89</f>
        <v>2.5</v>
      </c>
      <c r="E90" s="13">
        <f t="shared" ref="E90" si="450">1/E89</f>
        <v>6.666666666666667</v>
      </c>
      <c r="F90" s="13">
        <f t="shared" ref="F90" si="451">1/F89</f>
        <v>19.166666666666668</v>
      </c>
      <c r="G90" s="13">
        <f t="shared" ref="G90" si="452">1/G89</f>
        <v>60.238095238095255</v>
      </c>
      <c r="H90" s="13">
        <f t="shared" ref="H90" si="453">1/H89</f>
        <v>210.83333333333331</v>
      </c>
      <c r="I90" s="13">
        <f t="shared" ref="I90" si="454">1/I89</f>
        <v>843.33333333333326</v>
      </c>
      <c r="J90" s="13">
        <f t="shared" ref="J90" si="455">1/J89</f>
        <v>4005.8333333333339</v>
      </c>
      <c r="K90" s="13">
        <f t="shared" ref="K90" si="456">1/K89</f>
        <v>24035</v>
      </c>
      <c r="L90" s="13">
        <f t="shared" ref="L90" si="457">1/L89</f>
        <v>204297.5</v>
      </c>
      <c r="M90" s="13">
        <f t="shared" ref="M90" si="458">1/M89</f>
        <v>3268759.9999999995</v>
      </c>
      <c r="N90" s="6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3" customFormat="1" ht="16" thickBot="1" x14ac:dyDescent="0.25">
      <c r="C91" s="12" t="s">
        <v>8</v>
      </c>
      <c r="D91" s="7">
        <f>$F$1*D90</f>
        <v>2.3250000000000002</v>
      </c>
      <c r="E91" s="18">
        <f t="shared" ref="E91" si="459">$F$1*E90</f>
        <v>6.2</v>
      </c>
      <c r="F91" s="18">
        <f t="shared" ref="F91" si="460">$F$1*F90</f>
        <v>17.825000000000003</v>
      </c>
      <c r="G91" s="18">
        <f t="shared" ref="G91" si="461">$F$1*G90</f>
        <v>56.021428571428594</v>
      </c>
      <c r="H91" s="18">
        <f t="shared" ref="H91" si="462">$F$1*H90</f>
        <v>196.07499999999999</v>
      </c>
      <c r="I91" s="18">
        <f t="shared" ref="I91" si="463">$F$1*I90</f>
        <v>784.3</v>
      </c>
      <c r="J91" s="18">
        <f t="shared" ref="J91" si="464">$F$1*J90</f>
        <v>3725.4250000000006</v>
      </c>
      <c r="K91" s="18">
        <f t="shared" ref="K91" si="465">$F$1*K90</f>
        <v>22352.550000000003</v>
      </c>
      <c r="L91" s="18">
        <f t="shared" ref="L91" si="466">$F$1*L90</f>
        <v>189996.67500000002</v>
      </c>
      <c r="M91" s="18">
        <f t="shared" ref="M91" si="467">$F$1*M90</f>
        <v>3039946.8</v>
      </c>
      <c r="N91" s="8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3" customFormat="1" ht="16" thickBot="1" x14ac:dyDescent="0.25">
      <c r="A93" s="3" t="s">
        <v>29</v>
      </c>
      <c r="B93" s="14" t="s">
        <v>2</v>
      </c>
      <c r="C93" s="9" t="s">
        <v>3</v>
      </c>
      <c r="D93" s="55" t="s">
        <v>5</v>
      </c>
      <c r="E93" s="56"/>
      <c r="F93" s="56"/>
      <c r="G93" s="56"/>
      <c r="H93" s="56"/>
      <c r="I93" s="56"/>
      <c r="J93" s="56"/>
      <c r="K93" s="56"/>
      <c r="L93" s="56"/>
      <c r="M93" s="57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3" customFormat="1" ht="16" thickBot="1" x14ac:dyDescent="0.25">
      <c r="A94" s="7"/>
      <c r="B94" s="9">
        <v>16</v>
      </c>
      <c r="C94" s="6">
        <f>$C$1-B94</f>
        <v>9</v>
      </c>
      <c r="D94" s="14">
        <v>1</v>
      </c>
      <c r="E94" s="15">
        <f>D94+1</f>
        <v>2</v>
      </c>
      <c r="F94" s="15">
        <f t="shared" ref="F94:M94" si="468">E94+1</f>
        <v>3</v>
      </c>
      <c r="G94" s="15">
        <f t="shared" si="468"/>
        <v>4</v>
      </c>
      <c r="H94" s="15">
        <f t="shared" si="468"/>
        <v>5</v>
      </c>
      <c r="I94" s="15">
        <f t="shared" si="468"/>
        <v>6</v>
      </c>
      <c r="J94" s="15">
        <f t="shared" si="468"/>
        <v>7</v>
      </c>
      <c r="K94" s="15">
        <f t="shared" si="468"/>
        <v>8</v>
      </c>
      <c r="L94" s="15">
        <f t="shared" si="468"/>
        <v>9</v>
      </c>
      <c r="M94" s="16">
        <f t="shared" si="468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3" customFormat="1" x14ac:dyDescent="0.2">
      <c r="C95" s="10" t="s">
        <v>1</v>
      </c>
      <c r="D95" s="3">
        <f>COMBIN($C$94,D94)/COMBIN($C$1,D94)</f>
        <v>0.36</v>
      </c>
      <c r="E95" s="17">
        <f>COMBIN($C$94,E94)/COMBIN($C$1,E94)</f>
        <v>0.12</v>
      </c>
      <c r="F95" s="17">
        <f>COMBIN($C$94,F94)/COMBIN($C$1,F94)</f>
        <v>3.6521739130434779E-2</v>
      </c>
      <c r="G95" s="17">
        <f>COMBIN($C$94,G94)/COMBIN($C$1,G94)</f>
        <v>9.9604743083003943E-3</v>
      </c>
      <c r="H95" s="17">
        <f>COMBIN($C$94,H94)/COMBIN($C$1,H94)</f>
        <v>2.3715415019762848E-3</v>
      </c>
      <c r="I95" s="17">
        <f>COMBIN($C$94,I94)/COMBIN($C$1,I94)</f>
        <v>4.743083003952569E-4</v>
      </c>
      <c r="J95" s="17">
        <f>COMBIN($C$94,J94)/COMBIN($C$1,J94)</f>
        <v>7.4890784272935287E-5</v>
      </c>
      <c r="K95" s="17">
        <f>COMBIN($C$94,K94)/COMBIN($C$1,K94)</f>
        <v>8.3211982525483675E-6</v>
      </c>
      <c r="L95" s="17">
        <f>COMBIN($C$94,L94)/COMBIN($C$1,L94)</f>
        <v>4.8948225014990389E-7</v>
      </c>
      <c r="M95" s="4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3" customFormat="1" x14ac:dyDescent="0.2">
      <c r="C96" s="11" t="s">
        <v>6</v>
      </c>
      <c r="D96" s="39">
        <f>1/D95</f>
        <v>2.7777777777777777</v>
      </c>
      <c r="E96" s="29">
        <f t="shared" ref="E96" si="469">1/E95</f>
        <v>8.3333333333333339</v>
      </c>
      <c r="F96" s="29">
        <f t="shared" ref="F96" si="470">1/F95</f>
        <v>27.380952380952383</v>
      </c>
      <c r="G96" s="29">
        <f t="shared" ref="G96" si="471">1/G95</f>
        <v>100.39682539682541</v>
      </c>
      <c r="H96" s="29">
        <f t="shared" ref="H96" si="472">1/H95</f>
        <v>421.66666666666663</v>
      </c>
      <c r="I96" s="29">
        <f t="shared" ref="I96" si="473">1/I95</f>
        <v>2108.3333333333335</v>
      </c>
      <c r="J96" s="29">
        <f t="shared" ref="J96" si="474">1/J95</f>
        <v>13352.777777777781</v>
      </c>
      <c r="K96" s="29">
        <f t="shared" ref="K96" si="475">1/K95</f>
        <v>120174.99999999999</v>
      </c>
      <c r="L96" s="29">
        <f t="shared" ref="L96" si="476">1/L95</f>
        <v>2042975.0000000002</v>
      </c>
      <c r="M96" s="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3" customFormat="1" ht="16" thickBot="1" x14ac:dyDescent="0.25">
      <c r="C97" s="12" t="s">
        <v>8</v>
      </c>
      <c r="D97" s="7">
        <f>$F$1*D96</f>
        <v>2.5833333333333335</v>
      </c>
      <c r="E97" s="18">
        <f t="shared" ref="E97" si="477">$F$1*E96</f>
        <v>7.7500000000000009</v>
      </c>
      <c r="F97" s="18">
        <f t="shared" ref="F97" si="478">$F$1*F96</f>
        <v>25.464285714285719</v>
      </c>
      <c r="G97" s="18">
        <f t="shared" ref="G97" si="479">$F$1*G96</f>
        <v>93.369047619047635</v>
      </c>
      <c r="H97" s="18">
        <f t="shared" ref="H97" si="480">$F$1*H96</f>
        <v>392.15</v>
      </c>
      <c r="I97" s="18">
        <f t="shared" ref="I97" si="481">$F$1*I96</f>
        <v>1960.7500000000002</v>
      </c>
      <c r="J97" s="18">
        <f t="shared" ref="J97" si="482">$F$1*J96</f>
        <v>12418.083333333338</v>
      </c>
      <c r="K97" s="18">
        <f t="shared" ref="K97" si="483">$F$1*K96</f>
        <v>111762.74999999999</v>
      </c>
      <c r="L97" s="18">
        <f t="shared" ref="L97" si="484">$F$1*L96</f>
        <v>1899966.7500000002</v>
      </c>
      <c r="M97" s="8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3" customFormat="1" ht="16" thickBot="1" x14ac:dyDescent="0.25">
      <c r="A99" s="3" t="s">
        <v>30</v>
      </c>
      <c r="B99" s="14" t="s">
        <v>2</v>
      </c>
      <c r="C99" s="9" t="s">
        <v>3</v>
      </c>
      <c r="D99" s="55" t="s">
        <v>5</v>
      </c>
      <c r="E99" s="56"/>
      <c r="F99" s="56"/>
      <c r="G99" s="56"/>
      <c r="H99" s="56"/>
      <c r="I99" s="56"/>
      <c r="J99" s="56"/>
      <c r="K99" s="56"/>
      <c r="L99" s="57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3" customFormat="1" ht="16" thickBot="1" x14ac:dyDescent="0.25">
      <c r="A100" s="7"/>
      <c r="B100" s="9">
        <v>17</v>
      </c>
      <c r="C100" s="6">
        <f>$C$1-B100</f>
        <v>8</v>
      </c>
      <c r="D100" s="14">
        <v>1</v>
      </c>
      <c r="E100" s="15">
        <f>D100+1</f>
        <v>2</v>
      </c>
      <c r="F100" s="15">
        <f t="shared" ref="F100:L100" si="485">E100+1</f>
        <v>3</v>
      </c>
      <c r="G100" s="15">
        <f t="shared" si="485"/>
        <v>4</v>
      </c>
      <c r="H100" s="15">
        <f t="shared" si="485"/>
        <v>5</v>
      </c>
      <c r="I100" s="15">
        <f t="shared" si="485"/>
        <v>6</v>
      </c>
      <c r="J100" s="15">
        <f t="shared" si="485"/>
        <v>7</v>
      </c>
      <c r="K100" s="15">
        <f t="shared" si="485"/>
        <v>8</v>
      </c>
      <c r="L100" s="16">
        <f t="shared" si="485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3" customFormat="1" x14ac:dyDescent="0.2">
      <c r="C101" s="10" t="s">
        <v>1</v>
      </c>
      <c r="D101" s="3">
        <f>COMBIN($C$100,D100)/COMBIN($C$1,D100)</f>
        <v>0.32</v>
      </c>
      <c r="E101" s="17">
        <f>COMBIN($C$100,E100)/COMBIN($C$1,E100)</f>
        <v>9.3333333333333338E-2</v>
      </c>
      <c r="F101" s="17">
        <f>COMBIN($C$100,F100)/COMBIN($C$1,F100)</f>
        <v>2.4347826086956521E-2</v>
      </c>
      <c r="G101" s="17">
        <f>COMBIN($C$100,G100)/COMBIN($C$1,G100)</f>
        <v>5.5335968379446633E-3</v>
      </c>
      <c r="H101" s="17">
        <f>COMBIN($C$100,H100)/COMBIN($C$1,H100)</f>
        <v>1.0540184453227933E-3</v>
      </c>
      <c r="I101" s="17">
        <f>COMBIN($C$100,I100)/COMBIN($C$1,I100)</f>
        <v>1.58102766798419E-4</v>
      </c>
      <c r="J101" s="17">
        <f>COMBIN($C$100,J100)/COMBIN($C$1,J100)</f>
        <v>1.6642396505096728E-5</v>
      </c>
      <c r="K101" s="17">
        <f>COMBIN($C$100,K100)/COMBIN($C$1,K100)</f>
        <v>9.245775836164852E-7</v>
      </c>
      <c r="L101" s="4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3" customFormat="1" x14ac:dyDescent="0.2">
      <c r="C102" s="11" t="s">
        <v>6</v>
      </c>
      <c r="D102" s="5">
        <f>1/D101</f>
        <v>3.125</v>
      </c>
      <c r="E102" s="13">
        <f t="shared" ref="E102" si="486">1/E101</f>
        <v>10.714285714285714</v>
      </c>
      <c r="F102" s="13">
        <f t="shared" ref="F102" si="487">1/F101</f>
        <v>41.071428571428569</v>
      </c>
      <c r="G102" s="13">
        <f t="shared" ref="G102" si="488">1/G101</f>
        <v>180.71428571428575</v>
      </c>
      <c r="H102" s="13">
        <f t="shared" ref="H102" si="489">1/H101</f>
        <v>948.74999999999989</v>
      </c>
      <c r="I102" s="13">
        <f t="shared" ref="I102" si="490">1/I101</f>
        <v>6324.9999999999991</v>
      </c>
      <c r="J102" s="13">
        <f t="shared" ref="J102" si="491">1/J101</f>
        <v>60087.500000000022</v>
      </c>
      <c r="K102" s="13">
        <f t="shared" ref="K102" si="492">1/K101</f>
        <v>1081575</v>
      </c>
      <c r="L102" s="6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3" customFormat="1" ht="16" thickBot="1" x14ac:dyDescent="0.25">
      <c r="C103" s="12" t="s">
        <v>8</v>
      </c>
      <c r="D103" s="7">
        <f>$F$1*D102</f>
        <v>2.90625</v>
      </c>
      <c r="E103" s="18">
        <f t="shared" ref="E103" si="493">$F$1*E102</f>
        <v>9.9642857142857135</v>
      </c>
      <c r="F103" s="18">
        <f t="shared" ref="F103" si="494">$F$1*F102</f>
        <v>38.196428571428569</v>
      </c>
      <c r="G103" s="18">
        <f t="shared" ref="G103" si="495">$F$1*G102</f>
        <v>168.06428571428575</v>
      </c>
      <c r="H103" s="18">
        <f t="shared" ref="H103" si="496">$F$1*H102</f>
        <v>882.33749999999998</v>
      </c>
      <c r="I103" s="18">
        <f t="shared" ref="I103" si="497">$F$1*I102</f>
        <v>5882.2499999999991</v>
      </c>
      <c r="J103" s="18">
        <f t="shared" ref="J103" si="498">$F$1*J102</f>
        <v>55881.375000000022</v>
      </c>
      <c r="K103" s="18">
        <f t="shared" ref="K103" si="499">$F$1*K102</f>
        <v>1005864.75</v>
      </c>
      <c r="L103" s="8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3" customFormat="1" ht="16" thickBot="1" x14ac:dyDescent="0.25">
      <c r="A105" s="3" t="s">
        <v>31</v>
      </c>
      <c r="B105" s="14" t="s">
        <v>2</v>
      </c>
      <c r="C105" s="9" t="s">
        <v>3</v>
      </c>
      <c r="D105" s="55" t="s">
        <v>5</v>
      </c>
      <c r="E105" s="56"/>
      <c r="F105" s="56"/>
      <c r="G105" s="56"/>
      <c r="H105" s="56"/>
      <c r="I105" s="56"/>
      <c r="J105" s="56"/>
      <c r="K105" s="57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3" customFormat="1" ht="16" thickBot="1" x14ac:dyDescent="0.25">
      <c r="A106" s="7"/>
      <c r="B106" s="9">
        <v>18</v>
      </c>
      <c r="C106" s="6">
        <f>$C$1-B106</f>
        <v>7</v>
      </c>
      <c r="D106" s="14">
        <v>1</v>
      </c>
      <c r="E106" s="15">
        <f>D106+1</f>
        <v>2</v>
      </c>
      <c r="F106" s="15">
        <f t="shared" ref="F106:K106" si="500">E106+1</f>
        <v>3</v>
      </c>
      <c r="G106" s="15">
        <f t="shared" si="500"/>
        <v>4</v>
      </c>
      <c r="H106" s="15">
        <f t="shared" si="500"/>
        <v>5</v>
      </c>
      <c r="I106" s="15">
        <f t="shared" si="500"/>
        <v>6</v>
      </c>
      <c r="J106" s="15">
        <f t="shared" si="500"/>
        <v>7</v>
      </c>
      <c r="K106" s="16">
        <f t="shared" si="500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3" customFormat="1" x14ac:dyDescent="0.2">
      <c r="C107" s="10" t="s">
        <v>1</v>
      </c>
      <c r="D107" s="3">
        <f>COMBIN($C$106,D106)/COMBIN($C$1,D106)</f>
        <v>0.28000000000000003</v>
      </c>
      <c r="E107" s="17">
        <f>COMBIN($C$106,E106)/COMBIN($C$1,E106)</f>
        <v>7.0000000000000007E-2</v>
      </c>
      <c r="F107" s="23">
        <f>COMBIN($C$106,F106)/COMBIN($C$1,F106)</f>
        <v>1.5217391304347827E-2</v>
      </c>
      <c r="G107" s="23">
        <f>COMBIN($C$106,G106)/COMBIN($C$1,G106)</f>
        <v>2.7667984189723317E-3</v>
      </c>
      <c r="H107" s="23">
        <f>COMBIN($C$106,H106)/COMBIN($C$1,H106)</f>
        <v>3.9525691699604748E-4</v>
      </c>
      <c r="I107" s="17">
        <f>COMBIN($C$106,I106)/COMBIN($C$1,I106)</f>
        <v>3.9525691699604751E-5</v>
      </c>
      <c r="J107" s="17">
        <f>COMBIN($C$106,J106)/COMBIN($C$1,J106)</f>
        <v>2.080299563137091E-6</v>
      </c>
      <c r="K107" s="4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3" customFormat="1" x14ac:dyDescent="0.2">
      <c r="C108" s="11" t="s">
        <v>6</v>
      </c>
      <c r="D108" s="36">
        <f>1/D107</f>
        <v>3.5714285714285712</v>
      </c>
      <c r="E108" s="30">
        <f t="shared" ref="E108" si="501">1/E107</f>
        <v>14.285714285714285</v>
      </c>
      <c r="F108" s="30">
        <f t="shared" ref="F108" si="502">1/F107</f>
        <v>65.714285714285708</v>
      </c>
      <c r="G108" s="30">
        <f t="shared" ref="G108" si="503">1/G107</f>
        <v>361.4285714285715</v>
      </c>
      <c r="H108" s="30">
        <f t="shared" ref="H108" si="504">1/H107</f>
        <v>2529.9999999999995</v>
      </c>
      <c r="I108" s="40">
        <f t="shared" ref="I108" si="505">1/I107</f>
        <v>25299.999999999996</v>
      </c>
      <c r="J108" s="40">
        <f t="shared" ref="J108" si="506">1/J107</f>
        <v>480700.00000000017</v>
      </c>
      <c r="K108" s="6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3" customFormat="1" ht="16" thickBot="1" x14ac:dyDescent="0.25">
      <c r="C109" s="12" t="s">
        <v>8</v>
      </c>
      <c r="D109" s="32">
        <f>$F$1*D108</f>
        <v>3.3214285714285712</v>
      </c>
      <c r="E109" s="31">
        <f t="shared" ref="E109" si="507">$F$1*E108</f>
        <v>13.285714285714285</v>
      </c>
      <c r="F109" s="31">
        <f t="shared" ref="F109" si="508">$F$1*F108</f>
        <v>61.114285714285714</v>
      </c>
      <c r="G109" s="31">
        <f t="shared" ref="G109" si="509">$F$1*G108</f>
        <v>336.12857142857149</v>
      </c>
      <c r="H109" s="31">
        <f t="shared" ref="H109" si="510">$F$1*H108</f>
        <v>2352.8999999999996</v>
      </c>
      <c r="I109" s="33">
        <f t="shared" ref="I109" si="511">$F$1*I108</f>
        <v>23528.999999999996</v>
      </c>
      <c r="J109" s="33">
        <f t="shared" ref="J109" si="512">$F$1*J108</f>
        <v>447051.00000000017</v>
      </c>
      <c r="K109" s="8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3" customFormat="1" ht="16" thickBot="1" x14ac:dyDescent="0.25">
      <c r="A111" s="3" t="s">
        <v>32</v>
      </c>
      <c r="B111" s="14" t="s">
        <v>2</v>
      </c>
      <c r="C111" s="9" t="s">
        <v>3</v>
      </c>
      <c r="D111" s="55" t="s">
        <v>5</v>
      </c>
      <c r="E111" s="56"/>
      <c r="F111" s="56"/>
      <c r="G111" s="56"/>
      <c r="H111" s="56"/>
      <c r="I111" s="56"/>
      <c r="J111" s="57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3" customFormat="1" ht="16" thickBot="1" x14ac:dyDescent="0.25">
      <c r="A112" s="7"/>
      <c r="B112" s="9">
        <v>19</v>
      </c>
      <c r="C112" s="6">
        <f>$C$1-B112</f>
        <v>6</v>
      </c>
      <c r="D112" s="14">
        <v>1</v>
      </c>
      <c r="E112" s="15">
        <f>D112+1</f>
        <v>2</v>
      </c>
      <c r="F112" s="15">
        <f t="shared" ref="F112:J112" si="513">E112+1</f>
        <v>3</v>
      </c>
      <c r="G112" s="15">
        <f t="shared" si="513"/>
        <v>4</v>
      </c>
      <c r="H112" s="15">
        <f t="shared" si="513"/>
        <v>5</v>
      </c>
      <c r="I112" s="15">
        <f t="shared" si="513"/>
        <v>6</v>
      </c>
      <c r="J112" s="16">
        <f t="shared" si="513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3" customFormat="1" x14ac:dyDescent="0.2">
      <c r="C113" s="10" t="s">
        <v>1</v>
      </c>
      <c r="D113" s="3">
        <f>COMBIN($C$112,D112)/COMBIN($C$1,D112)</f>
        <v>0.24</v>
      </c>
      <c r="E113" s="17">
        <f>COMBIN($C$112,E112)/COMBIN($C$1,E112)</f>
        <v>0.05</v>
      </c>
      <c r="F113" s="23">
        <f>COMBIN($C$112,F112)/COMBIN($C$1,F112)</f>
        <v>8.6956521739130436E-3</v>
      </c>
      <c r="G113" s="23">
        <f>COMBIN($C$112,G112)/COMBIN($C$1,G112)</f>
        <v>1.1857707509881422E-3</v>
      </c>
      <c r="H113" s="23">
        <f>COMBIN($C$112,H112)/COMBIN($C$1,H112)</f>
        <v>1.1293054771315642E-4</v>
      </c>
      <c r="I113" s="17">
        <f>COMBIN($C$112,I112)/COMBIN($C$1,I112)</f>
        <v>5.6465273856578217E-6</v>
      </c>
      <c r="J113" s="4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3" customFormat="1" x14ac:dyDescent="0.2">
      <c r="C114" s="11" t="s">
        <v>6</v>
      </c>
      <c r="D114" s="38">
        <f>1/D113</f>
        <v>4.166666666666667</v>
      </c>
      <c r="E114" s="40">
        <f t="shared" ref="E114" si="514">1/E113</f>
        <v>20</v>
      </c>
      <c r="F114" s="13">
        <f t="shared" ref="F114" si="515">1/F113</f>
        <v>115</v>
      </c>
      <c r="G114" s="13">
        <f t="shared" ref="G114" si="516">1/G113</f>
        <v>843.33333333333337</v>
      </c>
      <c r="H114" s="13">
        <f t="shared" ref="H114" si="517">1/H113</f>
        <v>8854.9999999999982</v>
      </c>
      <c r="I114" s="13">
        <f t="shared" ref="I114" si="518">1/I113</f>
        <v>177099.99999999997</v>
      </c>
      <c r="J114" s="6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3" customFormat="1" ht="16" thickBot="1" x14ac:dyDescent="0.25">
      <c r="C115" s="12" t="s">
        <v>8</v>
      </c>
      <c r="D115" s="7">
        <f>$F$1*D114</f>
        <v>3.8750000000000004</v>
      </c>
      <c r="E115" s="18">
        <f t="shared" ref="E115" si="519">$F$1*E114</f>
        <v>18.600000000000001</v>
      </c>
      <c r="F115" s="18">
        <f t="shared" ref="F115" si="520">$F$1*F114</f>
        <v>106.95</v>
      </c>
      <c r="G115" s="18">
        <f t="shared" ref="G115" si="521">$F$1*G114</f>
        <v>784.30000000000007</v>
      </c>
      <c r="H115" s="18">
        <f t="shared" ref="H115" si="522">$F$1*H114</f>
        <v>8235.15</v>
      </c>
      <c r="I115" s="18">
        <f t="shared" ref="I115" si="523">$F$1*I114</f>
        <v>164702.99999999997</v>
      </c>
      <c r="J115" s="8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3" customFormat="1" ht="16" thickBot="1" x14ac:dyDescent="0.25">
      <c r="A117" s="3" t="s">
        <v>33</v>
      </c>
      <c r="B117" s="14" t="s">
        <v>2</v>
      </c>
      <c r="C117" s="9" t="s">
        <v>3</v>
      </c>
      <c r="D117" s="55" t="s">
        <v>5</v>
      </c>
      <c r="E117" s="56"/>
      <c r="F117" s="56"/>
      <c r="G117" s="56"/>
      <c r="H117" s="56"/>
      <c r="I117" s="5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3" customFormat="1" ht="16" thickBot="1" x14ac:dyDescent="0.25">
      <c r="A118" s="7"/>
      <c r="B118" s="9">
        <v>20</v>
      </c>
      <c r="C118" s="6">
        <f>$C$1-B118</f>
        <v>5</v>
      </c>
      <c r="D118" s="14">
        <v>1</v>
      </c>
      <c r="E118" s="15">
        <f>D118+1</f>
        <v>2</v>
      </c>
      <c r="F118" s="15">
        <f t="shared" ref="F118:I118" si="524">E118+1</f>
        <v>3</v>
      </c>
      <c r="G118" s="15">
        <f t="shared" si="524"/>
        <v>4</v>
      </c>
      <c r="H118" s="15">
        <f t="shared" si="524"/>
        <v>5</v>
      </c>
      <c r="I118" s="16">
        <f t="shared" si="524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3" customFormat="1" x14ac:dyDescent="0.2">
      <c r="C119" s="10" t="s">
        <v>1</v>
      </c>
      <c r="D119" s="51">
        <f>COMBIN($C$118,D118)/COMBIN($C$1,D118)</f>
        <v>0.2</v>
      </c>
      <c r="E119" s="17">
        <f>COMBIN($C$118,E118)/COMBIN($C$1,E118)</f>
        <v>3.3333333333333333E-2</v>
      </c>
      <c r="F119" s="17">
        <f>COMBIN($C$118,F118)/COMBIN($C$1,F118)</f>
        <v>4.3478260869565218E-3</v>
      </c>
      <c r="G119" s="17">
        <f>COMBIN($C$118,G118)/COMBIN($C$1,G118)</f>
        <v>3.9525691699604737E-4</v>
      </c>
      <c r="H119" s="17">
        <f>COMBIN($C$118,H118)/COMBIN($C$1,H118)</f>
        <v>1.8821757952192737E-5</v>
      </c>
      <c r="I119" s="4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3" customFormat="1" x14ac:dyDescent="0.2">
      <c r="C120" s="11" t="s">
        <v>6</v>
      </c>
      <c r="D120" s="5">
        <f>1/D119</f>
        <v>5</v>
      </c>
      <c r="E120" s="13">
        <f t="shared" ref="E120" si="525">1/E119</f>
        <v>30</v>
      </c>
      <c r="F120" s="13">
        <f t="shared" ref="F120" si="526">1/F119</f>
        <v>230</v>
      </c>
      <c r="G120" s="13">
        <f t="shared" ref="G120" si="527">1/G119</f>
        <v>2530.0000000000005</v>
      </c>
      <c r="H120" s="13">
        <f t="shared" ref="H120" si="528">1/H119</f>
        <v>53129.999999999993</v>
      </c>
      <c r="I120" s="6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3" customFormat="1" ht="16" thickBot="1" x14ac:dyDescent="0.25">
      <c r="C121" s="12" t="s">
        <v>8</v>
      </c>
      <c r="D121" s="7">
        <f>$F$1*D120</f>
        <v>4.6500000000000004</v>
      </c>
      <c r="E121" s="18">
        <f t="shared" ref="E121" si="529">$F$1*E120</f>
        <v>27.900000000000002</v>
      </c>
      <c r="F121" s="18">
        <f t="shared" ref="F121" si="530">$F$1*F120</f>
        <v>213.9</v>
      </c>
      <c r="G121" s="18">
        <f t="shared" ref="G121" si="531">$F$1*G120</f>
        <v>2352.9000000000005</v>
      </c>
      <c r="H121" s="18">
        <f t="shared" ref="H121" si="532">$F$1*H120</f>
        <v>49410.899999999994</v>
      </c>
      <c r="I121" s="8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3" customFormat="1" ht="16" thickBot="1" x14ac:dyDescent="0.25">
      <c r="A123" s="3" t="s">
        <v>34</v>
      </c>
      <c r="B123" s="14" t="s">
        <v>2</v>
      </c>
      <c r="C123" s="9" t="s">
        <v>3</v>
      </c>
      <c r="D123" s="55" t="s">
        <v>5</v>
      </c>
      <c r="E123" s="56"/>
      <c r="F123" s="56"/>
      <c r="G123" s="56"/>
      <c r="H123" s="57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3" customFormat="1" ht="16" thickBot="1" x14ac:dyDescent="0.25">
      <c r="A124" s="7"/>
      <c r="B124" s="9">
        <v>21</v>
      </c>
      <c r="C124" s="6">
        <f>$C$1-B124</f>
        <v>4</v>
      </c>
      <c r="D124" s="14">
        <v>1</v>
      </c>
      <c r="E124" s="15">
        <f>D124+1</f>
        <v>2</v>
      </c>
      <c r="F124" s="15">
        <f t="shared" ref="F124:H124" si="533">E124+1</f>
        <v>3</v>
      </c>
      <c r="G124" s="15">
        <f t="shared" si="533"/>
        <v>4</v>
      </c>
      <c r="H124" s="16">
        <f t="shared" si="533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3" customFormat="1" x14ac:dyDescent="0.2">
      <c r="C125" s="10" t="s">
        <v>1</v>
      </c>
      <c r="D125" s="3">
        <f>COMBIN($C$124,D124)/COMBIN($C$1,D124)</f>
        <v>0.16</v>
      </c>
      <c r="E125" s="17">
        <f>COMBIN($C$124,E124)/COMBIN($C$1,E124)</f>
        <v>0.02</v>
      </c>
      <c r="F125" s="17">
        <f>COMBIN($C$124,F124)/COMBIN($C$1,F124)</f>
        <v>1.7391304347826088E-3</v>
      </c>
      <c r="G125" s="17">
        <f>COMBIN($C$124,G124)/COMBIN($C$1,G124)</f>
        <v>7.9051383399209474E-5</v>
      </c>
      <c r="H125" s="4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3" customFormat="1" x14ac:dyDescent="0.2">
      <c r="C126" s="11" t="s">
        <v>6</v>
      </c>
      <c r="D126" s="5">
        <f>1/D125</f>
        <v>6.25</v>
      </c>
      <c r="E126" s="13">
        <f t="shared" ref="E126" si="534">1/E125</f>
        <v>50</v>
      </c>
      <c r="F126" s="13">
        <f t="shared" ref="F126" si="535">1/F125</f>
        <v>575</v>
      </c>
      <c r="G126" s="13">
        <f t="shared" ref="G126" si="536">1/G125</f>
        <v>12650.000000000002</v>
      </c>
      <c r="H126" s="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3" customFormat="1" ht="16" thickBot="1" x14ac:dyDescent="0.25">
      <c r="C127" s="12" t="s">
        <v>8</v>
      </c>
      <c r="D127" s="7">
        <f>$F$1*D126</f>
        <v>5.8125</v>
      </c>
      <c r="E127" s="18">
        <f t="shared" ref="E127" si="537">$F$1*E126</f>
        <v>46.5</v>
      </c>
      <c r="F127" s="18">
        <f t="shared" ref="F127" si="538">$F$1*F126</f>
        <v>534.75</v>
      </c>
      <c r="G127" s="18">
        <f t="shared" ref="G127" si="539">$F$1*G126</f>
        <v>11764.500000000002</v>
      </c>
      <c r="H127" s="8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3" customFormat="1" ht="16" thickBot="1" x14ac:dyDescent="0.25">
      <c r="A129" s="3" t="s">
        <v>35</v>
      </c>
      <c r="B129" s="14" t="s">
        <v>2</v>
      </c>
      <c r="C129" s="9" t="s">
        <v>3</v>
      </c>
      <c r="D129" s="55" t="s">
        <v>5</v>
      </c>
      <c r="E129" s="56"/>
      <c r="F129" s="56"/>
      <c r="G129" s="57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3" customFormat="1" ht="16" thickBot="1" x14ac:dyDescent="0.25">
      <c r="A130" s="7"/>
      <c r="B130" s="9">
        <v>22</v>
      </c>
      <c r="C130" s="6">
        <f>$C$1-B130</f>
        <v>3</v>
      </c>
      <c r="D130" s="14">
        <v>1</v>
      </c>
      <c r="E130" s="15">
        <f>D130+1</f>
        <v>2</v>
      </c>
      <c r="F130" s="15">
        <f t="shared" ref="F130:G130" si="540">E130+1</f>
        <v>3</v>
      </c>
      <c r="G130" s="16">
        <f t="shared" si="540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3" customFormat="1" x14ac:dyDescent="0.2">
      <c r="C131" s="10" t="s">
        <v>1</v>
      </c>
      <c r="D131" s="3">
        <f>COMBIN($C$130,D130)/COMBIN($C$1,D130)</f>
        <v>0.12</v>
      </c>
      <c r="E131" s="17">
        <f>COMBIN($C$130,E130)/COMBIN($C$1,E130)</f>
        <v>0.01</v>
      </c>
      <c r="F131" s="17">
        <f>COMBIN($C$130,F130)/COMBIN($C$1,F130)</f>
        <v>4.3478260869565219E-4</v>
      </c>
      <c r="G131" s="4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3" customFormat="1" x14ac:dyDescent="0.2">
      <c r="C132" s="11" t="s">
        <v>6</v>
      </c>
      <c r="D132" s="5">
        <f>1/D131</f>
        <v>8.3333333333333339</v>
      </c>
      <c r="E132" s="13">
        <f t="shared" ref="E132" si="541">1/E131</f>
        <v>100</v>
      </c>
      <c r="F132" s="13">
        <f t="shared" ref="F132" si="542">1/F131</f>
        <v>2300</v>
      </c>
      <c r="G132" s="6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3" customFormat="1" ht="16" thickBot="1" x14ac:dyDescent="0.25">
      <c r="C133" s="12" t="s">
        <v>8</v>
      </c>
      <c r="D133" s="7">
        <f>$F$1*D132</f>
        <v>7.7500000000000009</v>
      </c>
      <c r="E133" s="18">
        <f t="shared" ref="E133" si="543">$F$1*E132</f>
        <v>93</v>
      </c>
      <c r="F133" s="18">
        <f t="shared" ref="F133" si="544">$F$1*F132</f>
        <v>2139</v>
      </c>
      <c r="G133" s="8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3" customFormat="1" ht="16" thickBot="1" x14ac:dyDescent="0.25">
      <c r="A135" s="3" t="s">
        <v>36</v>
      </c>
      <c r="B135" s="14" t="s">
        <v>2</v>
      </c>
      <c r="C135" s="9" t="s">
        <v>3</v>
      </c>
      <c r="D135" s="55" t="s">
        <v>5</v>
      </c>
      <c r="E135" s="56"/>
      <c r="F135" s="57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3" customFormat="1" ht="16" thickBot="1" x14ac:dyDescent="0.25">
      <c r="A136" s="7"/>
      <c r="B136" s="9">
        <v>23</v>
      </c>
      <c r="C136" s="6">
        <f>$C$1-B136</f>
        <v>2</v>
      </c>
      <c r="D136" s="14">
        <v>1</v>
      </c>
      <c r="E136" s="15">
        <f>D136+1</f>
        <v>2</v>
      </c>
      <c r="F136" s="16">
        <f t="shared" ref="F136" si="545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3" customFormat="1" x14ac:dyDescent="0.2">
      <c r="C137" s="10" t="s">
        <v>1</v>
      </c>
      <c r="D137" s="3">
        <f>COMBIN($C$136,D136)/COMBIN($C$1,D136)</f>
        <v>0.08</v>
      </c>
      <c r="E137" s="17">
        <f>COMBIN($C$136,E136)/COMBIN($C$1,E136)</f>
        <v>3.3333333333333335E-3</v>
      </c>
      <c r="F137" s="4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3" customFormat="1" x14ac:dyDescent="0.2">
      <c r="C138" s="11" t="s">
        <v>6</v>
      </c>
      <c r="D138" s="5">
        <f>1/D137</f>
        <v>12.5</v>
      </c>
      <c r="E138" s="13">
        <f t="shared" ref="E138" si="546">1/E137</f>
        <v>300</v>
      </c>
      <c r="F138" s="6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3" customFormat="1" ht="16" thickBot="1" x14ac:dyDescent="0.25">
      <c r="C139" s="12" t="s">
        <v>8</v>
      </c>
      <c r="D139" s="7">
        <f>$F$1*D138</f>
        <v>11.625</v>
      </c>
      <c r="E139" s="18">
        <f t="shared" ref="E139" si="547">$F$1*E138</f>
        <v>279</v>
      </c>
      <c r="F139" s="8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3" t="s">
        <v>37</v>
      </c>
      <c r="B141" s="14" t="s">
        <v>2</v>
      </c>
      <c r="C141" s="9" t="s">
        <v>3</v>
      </c>
      <c r="D141" s="1" t="s">
        <v>5</v>
      </c>
      <c r="E141" s="2"/>
    </row>
    <row r="142" spans="1:28" ht="16" thickBot="1" x14ac:dyDescent="0.25">
      <c r="A142" s="7"/>
      <c r="B142" s="9">
        <v>24</v>
      </c>
      <c r="C142" s="6">
        <f>$C$1-B142</f>
        <v>1</v>
      </c>
      <c r="D142" s="14">
        <v>1</v>
      </c>
      <c r="E142" s="16">
        <f>D142+1</f>
        <v>2</v>
      </c>
    </row>
    <row r="143" spans="1:28" x14ac:dyDescent="0.2">
      <c r="A143" s="13"/>
      <c r="B143" s="13"/>
      <c r="C143" s="10" t="s">
        <v>1</v>
      </c>
      <c r="D143" s="3">
        <f>COMBIN($C$142,D142)/COMBIN($C$1,D142)</f>
        <v>0.04</v>
      </c>
      <c r="E143" s="4"/>
    </row>
    <row r="144" spans="1:28" x14ac:dyDescent="0.2">
      <c r="A144" s="13"/>
      <c r="B144" s="13"/>
      <c r="C144" s="11" t="s">
        <v>6</v>
      </c>
      <c r="D144" s="5">
        <f>1/D143</f>
        <v>25</v>
      </c>
      <c r="E144" s="6"/>
    </row>
    <row r="145" spans="1:14" ht="16" thickBot="1" x14ac:dyDescent="0.25">
      <c r="A145" s="13"/>
      <c r="B145" s="13"/>
      <c r="C145" s="12" t="s">
        <v>8</v>
      </c>
      <c r="D145" s="7">
        <f>$F$1*D144</f>
        <v>23.25</v>
      </c>
      <c r="E145" s="8"/>
    </row>
    <row r="150" spans="1:14" x14ac:dyDescent="0.2">
      <c r="K150">
        <f>COMBIN(20,1)/COMBIN(25,1)</f>
        <v>0.8</v>
      </c>
      <c r="L150">
        <f>19/24</f>
        <v>0.79166666666666663</v>
      </c>
      <c r="M150">
        <f>K150*L150</f>
        <v>0.6333333333333333</v>
      </c>
      <c r="N150">
        <f>COMBIN(20,2)/COMBIN(25,2)</f>
        <v>0.6333333333333333</v>
      </c>
    </row>
  </sheetData>
  <mergeCells count="23">
    <mergeCell ref="D105:K105"/>
    <mergeCell ref="D63:R63"/>
    <mergeCell ref="D57:S57"/>
    <mergeCell ref="D51:T51"/>
    <mergeCell ref="D99:L99"/>
    <mergeCell ref="D93:M93"/>
    <mergeCell ref="D87:N87"/>
    <mergeCell ref="D81:O81"/>
    <mergeCell ref="D75:P75"/>
    <mergeCell ref="D69:Q69"/>
    <mergeCell ref="D135:F135"/>
    <mergeCell ref="D129:G129"/>
    <mergeCell ref="D123:H123"/>
    <mergeCell ref="D117:I117"/>
    <mergeCell ref="D111:J111"/>
    <mergeCell ref="D3:AB3"/>
    <mergeCell ref="D9:AA9"/>
    <mergeCell ref="D39:V39"/>
    <mergeCell ref="D15:Z15"/>
    <mergeCell ref="D45:U45"/>
    <mergeCell ref="D33:W33"/>
    <mergeCell ref="D27:X27"/>
    <mergeCell ref="D21:Y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CB29-6F55-4C06-9854-86E8EBFF3B32}">
  <sheetPr codeName="Sheet3"/>
  <dimension ref="A1:AB145"/>
  <sheetViews>
    <sheetView zoomScale="140" zoomScaleNormal="140" workbookViewId="0">
      <selection activeCell="E29" sqref="E2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4</v>
      </c>
      <c r="C1" s="2">
        <v>25</v>
      </c>
      <c r="E1" s="19" t="s">
        <v>0</v>
      </c>
      <c r="F1" s="20">
        <v>0.95</v>
      </c>
    </row>
    <row r="2" spans="1:28" ht="16" thickBot="1" x14ac:dyDescent="0.25"/>
    <row r="3" spans="1:28" s="13" customFormat="1" ht="16" thickBot="1" x14ac:dyDescent="0.25">
      <c r="A3" s="3" t="s">
        <v>7</v>
      </c>
      <c r="B3" s="14" t="s">
        <v>2</v>
      </c>
      <c r="C3" s="9" t="s">
        <v>3</v>
      </c>
      <c r="D3" s="55" t="s">
        <v>5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7"/>
    </row>
    <row r="4" spans="1:28" s="13" customFormat="1" ht="16" thickBot="1" x14ac:dyDescent="0.25">
      <c r="A4" s="7"/>
      <c r="B4" s="9">
        <v>1</v>
      </c>
      <c r="C4" s="6">
        <f>$C$1-B4</f>
        <v>24</v>
      </c>
      <c r="D4" s="14">
        <v>1</v>
      </c>
      <c r="E4" s="15">
        <f>D4+1</f>
        <v>2</v>
      </c>
      <c r="F4" s="15">
        <f t="shared" ref="F4:AB4" si="0">E4+1</f>
        <v>3</v>
      </c>
      <c r="G4" s="15">
        <f t="shared" si="0"/>
        <v>4</v>
      </c>
      <c r="H4" s="15">
        <f t="shared" si="0"/>
        <v>5</v>
      </c>
      <c r="I4" s="15">
        <f t="shared" si="0"/>
        <v>6</v>
      </c>
      <c r="J4" s="15">
        <f t="shared" si="0"/>
        <v>7</v>
      </c>
      <c r="K4" s="15">
        <f t="shared" si="0"/>
        <v>8</v>
      </c>
      <c r="L4" s="15">
        <f t="shared" si="0"/>
        <v>9</v>
      </c>
      <c r="M4" s="15">
        <f t="shared" si="0"/>
        <v>10</v>
      </c>
      <c r="N4" s="15">
        <f t="shared" si="0"/>
        <v>11</v>
      </c>
      <c r="O4" s="15">
        <f t="shared" si="0"/>
        <v>12</v>
      </c>
      <c r="P4" s="15">
        <f t="shared" si="0"/>
        <v>13</v>
      </c>
      <c r="Q4" s="15">
        <f t="shared" si="0"/>
        <v>14</v>
      </c>
      <c r="R4" s="15">
        <f t="shared" si="0"/>
        <v>15</v>
      </c>
      <c r="S4" s="15">
        <f t="shared" si="0"/>
        <v>16</v>
      </c>
      <c r="T4" s="15">
        <f t="shared" si="0"/>
        <v>17</v>
      </c>
      <c r="U4" s="15">
        <f t="shared" si="0"/>
        <v>18</v>
      </c>
      <c r="V4" s="15">
        <f t="shared" si="0"/>
        <v>19</v>
      </c>
      <c r="W4" s="15">
        <f t="shared" si="0"/>
        <v>20</v>
      </c>
      <c r="X4" s="15">
        <f t="shared" si="0"/>
        <v>21</v>
      </c>
      <c r="Y4" s="15">
        <f t="shared" si="0"/>
        <v>22</v>
      </c>
      <c r="Z4" s="15">
        <f t="shared" si="0"/>
        <v>23</v>
      </c>
      <c r="AA4" s="15">
        <f t="shared" si="0"/>
        <v>24</v>
      </c>
      <c r="AB4" s="16">
        <f t="shared" si="0"/>
        <v>25</v>
      </c>
    </row>
    <row r="5" spans="1:28" s="13" customFormat="1" x14ac:dyDescent="0.2">
      <c r="C5" s="10" t="s">
        <v>1</v>
      </c>
      <c r="D5" s="52">
        <f>COMBIN($C$4,D4)/COMBIN($C$1,D4)</f>
        <v>0.96</v>
      </c>
      <c r="E5" s="26">
        <f t="shared" ref="E5:AA5" si="1">COMBIN($C$4,E4)/COMBIN($C$1,E4)</f>
        <v>0.92</v>
      </c>
      <c r="F5" s="26">
        <f t="shared" si="1"/>
        <v>0.88000000000000012</v>
      </c>
      <c r="G5" s="26">
        <f t="shared" si="1"/>
        <v>0.83999999999999986</v>
      </c>
      <c r="H5" s="26">
        <f t="shared" si="1"/>
        <v>0.79999999999999993</v>
      </c>
      <c r="I5" s="26">
        <f t="shared" si="1"/>
        <v>0.76000000000000034</v>
      </c>
      <c r="J5" s="26">
        <f t="shared" si="1"/>
        <v>0.71999999999999986</v>
      </c>
      <c r="K5" s="26">
        <f t="shared" si="1"/>
        <v>0.68</v>
      </c>
      <c r="L5" s="26">
        <f t="shared" si="1"/>
        <v>0.64</v>
      </c>
      <c r="M5" s="26">
        <f t="shared" si="1"/>
        <v>0.60000000000000009</v>
      </c>
      <c r="N5" s="26">
        <f t="shared" si="1"/>
        <v>0.56000000000000005</v>
      </c>
      <c r="O5" s="26">
        <f t="shared" si="1"/>
        <v>0.52000000000000013</v>
      </c>
      <c r="P5" s="26">
        <f t="shared" si="1"/>
        <v>0.48</v>
      </c>
      <c r="Q5" s="26">
        <f t="shared" si="1"/>
        <v>0.44</v>
      </c>
      <c r="R5" s="26">
        <f t="shared" si="1"/>
        <v>0.40000000000000008</v>
      </c>
      <c r="S5" s="26">
        <f t="shared" si="1"/>
        <v>0.36</v>
      </c>
      <c r="T5" s="26">
        <f t="shared" si="1"/>
        <v>0.32</v>
      </c>
      <c r="U5" s="26">
        <f t="shared" si="1"/>
        <v>0.27999999999999997</v>
      </c>
      <c r="V5" s="26">
        <f t="shared" si="1"/>
        <v>0.24</v>
      </c>
      <c r="W5" s="26">
        <f t="shared" si="1"/>
        <v>0.20000000000000004</v>
      </c>
      <c r="X5" s="26">
        <f t="shared" si="1"/>
        <v>0.16</v>
      </c>
      <c r="Y5" s="26">
        <f t="shared" si="1"/>
        <v>0.12</v>
      </c>
      <c r="Z5" s="26">
        <f t="shared" si="1"/>
        <v>0.08</v>
      </c>
      <c r="AA5" s="26">
        <f t="shared" si="1"/>
        <v>0.04</v>
      </c>
      <c r="AB5" s="4"/>
    </row>
    <row r="6" spans="1:28" s="13" customFormat="1" x14ac:dyDescent="0.2">
      <c r="C6" s="11" t="s">
        <v>6</v>
      </c>
      <c r="D6" s="38">
        <f>1/D5</f>
        <v>1.0416666666666667</v>
      </c>
      <c r="E6" s="27">
        <f t="shared" ref="E6:AA6" si="2">1/E5</f>
        <v>1.0869565217391304</v>
      </c>
      <c r="F6" s="27">
        <f t="shared" si="2"/>
        <v>1.1363636363636362</v>
      </c>
      <c r="G6" s="27">
        <f t="shared" si="2"/>
        <v>1.1904761904761907</v>
      </c>
      <c r="H6" s="27">
        <f t="shared" si="2"/>
        <v>1.25</v>
      </c>
      <c r="I6" s="27">
        <f t="shared" si="2"/>
        <v>1.31578947368421</v>
      </c>
      <c r="J6" s="27">
        <f t="shared" si="2"/>
        <v>1.3888888888888891</v>
      </c>
      <c r="K6" s="27">
        <f t="shared" si="2"/>
        <v>1.4705882352941175</v>
      </c>
      <c r="L6" s="27">
        <f t="shared" si="2"/>
        <v>1.5625</v>
      </c>
      <c r="M6" s="27">
        <f t="shared" si="2"/>
        <v>1.6666666666666665</v>
      </c>
      <c r="N6" s="27">
        <f t="shared" si="2"/>
        <v>1.7857142857142856</v>
      </c>
      <c r="O6" s="27">
        <f t="shared" si="2"/>
        <v>1.9230769230769227</v>
      </c>
      <c r="P6" s="27">
        <f t="shared" si="2"/>
        <v>2.0833333333333335</v>
      </c>
      <c r="Q6" s="27">
        <f t="shared" si="2"/>
        <v>2.2727272727272729</v>
      </c>
      <c r="R6" s="27">
        <f t="shared" si="2"/>
        <v>2.4999999999999996</v>
      </c>
      <c r="S6" s="27">
        <f t="shared" si="2"/>
        <v>2.7777777777777777</v>
      </c>
      <c r="T6" s="27">
        <f t="shared" si="2"/>
        <v>3.125</v>
      </c>
      <c r="U6" s="27">
        <f t="shared" si="2"/>
        <v>3.5714285714285716</v>
      </c>
      <c r="V6" s="27">
        <f t="shared" si="2"/>
        <v>4.166666666666667</v>
      </c>
      <c r="W6" s="27">
        <f t="shared" si="2"/>
        <v>4.9999999999999991</v>
      </c>
      <c r="X6" s="27">
        <f t="shared" si="2"/>
        <v>6.25</v>
      </c>
      <c r="Y6" s="27">
        <f t="shared" si="2"/>
        <v>8.3333333333333339</v>
      </c>
      <c r="Z6" s="27">
        <f t="shared" si="2"/>
        <v>12.5</v>
      </c>
      <c r="AA6" s="27">
        <f t="shared" si="2"/>
        <v>25</v>
      </c>
      <c r="AB6" s="6"/>
    </row>
    <row r="7" spans="1:28" s="13" customFormat="1" ht="16" thickBot="1" x14ac:dyDescent="0.25">
      <c r="C7" s="12" t="s">
        <v>8</v>
      </c>
      <c r="D7" s="35">
        <f>$F$1*D6</f>
        <v>0.98958333333333337</v>
      </c>
      <c r="E7" s="28">
        <f t="shared" ref="E7:AA7" si="3">$F$1*E6</f>
        <v>1.0326086956521738</v>
      </c>
      <c r="F7" s="28">
        <f t="shared" si="3"/>
        <v>1.0795454545454544</v>
      </c>
      <c r="G7" s="28">
        <f t="shared" si="3"/>
        <v>1.1309523809523812</v>
      </c>
      <c r="H7" s="28">
        <f t="shared" si="3"/>
        <v>1.1875</v>
      </c>
      <c r="I7" s="28">
        <f t="shared" si="3"/>
        <v>1.2499999999999993</v>
      </c>
      <c r="J7" s="28">
        <f t="shared" si="3"/>
        <v>1.3194444444444446</v>
      </c>
      <c r="K7" s="28">
        <f t="shared" si="3"/>
        <v>1.3970588235294117</v>
      </c>
      <c r="L7" s="28">
        <f t="shared" si="3"/>
        <v>1.484375</v>
      </c>
      <c r="M7" s="28">
        <f t="shared" si="3"/>
        <v>1.583333333333333</v>
      </c>
      <c r="N7" s="28">
        <f t="shared" si="3"/>
        <v>1.6964285714285712</v>
      </c>
      <c r="O7" s="28">
        <f t="shared" si="3"/>
        <v>1.8269230769230764</v>
      </c>
      <c r="P7" s="28">
        <f t="shared" si="3"/>
        <v>1.9791666666666667</v>
      </c>
      <c r="Q7" s="28">
        <f t="shared" si="3"/>
        <v>2.1590909090909092</v>
      </c>
      <c r="R7" s="28">
        <f t="shared" si="3"/>
        <v>2.3749999999999996</v>
      </c>
      <c r="S7" s="28">
        <f t="shared" si="3"/>
        <v>2.6388888888888888</v>
      </c>
      <c r="T7" s="28">
        <f t="shared" si="3"/>
        <v>2.96875</v>
      </c>
      <c r="U7" s="28">
        <f t="shared" si="3"/>
        <v>3.3928571428571428</v>
      </c>
      <c r="V7" s="28">
        <f t="shared" si="3"/>
        <v>3.9583333333333335</v>
      </c>
      <c r="W7" s="28">
        <f t="shared" si="3"/>
        <v>4.7499999999999991</v>
      </c>
      <c r="X7" s="28">
        <f t="shared" si="3"/>
        <v>5.9375</v>
      </c>
      <c r="Y7" s="28">
        <f t="shared" si="3"/>
        <v>7.916666666666667</v>
      </c>
      <c r="Z7" s="28">
        <f t="shared" si="3"/>
        <v>11.875</v>
      </c>
      <c r="AA7" s="28">
        <f t="shared" si="3"/>
        <v>23.75</v>
      </c>
      <c r="AB7" s="8"/>
    </row>
    <row r="8" spans="1:28" ht="16" thickBot="1" x14ac:dyDescent="0.25"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8" s="13" customFormat="1" ht="16" thickBot="1" x14ac:dyDescent="0.25">
      <c r="A9" s="3" t="s">
        <v>15</v>
      </c>
      <c r="B9" s="14" t="s">
        <v>2</v>
      </c>
      <c r="C9" s="9" t="s">
        <v>3</v>
      </c>
      <c r="D9" s="58" t="s">
        <v>5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  <c r="AB9"/>
    </row>
    <row r="10" spans="1:28" s="13" customFormat="1" ht="16" thickBot="1" x14ac:dyDescent="0.25">
      <c r="A10" s="7"/>
      <c r="B10" s="9">
        <v>2</v>
      </c>
      <c r="C10" s="6">
        <f>$C$1-B10</f>
        <v>23</v>
      </c>
      <c r="D10" s="45">
        <v>1</v>
      </c>
      <c r="E10" s="46">
        <f>D10+1</f>
        <v>2</v>
      </c>
      <c r="F10" s="46">
        <f t="shared" ref="F10:AA10" si="4">E10+1</f>
        <v>3</v>
      </c>
      <c r="G10" s="46">
        <f t="shared" si="4"/>
        <v>4</v>
      </c>
      <c r="H10" s="46">
        <f t="shared" si="4"/>
        <v>5</v>
      </c>
      <c r="I10" s="46">
        <f t="shared" si="4"/>
        <v>6</v>
      </c>
      <c r="J10" s="46">
        <f t="shared" si="4"/>
        <v>7</v>
      </c>
      <c r="K10" s="46">
        <f t="shared" si="4"/>
        <v>8</v>
      </c>
      <c r="L10" s="46">
        <f t="shared" si="4"/>
        <v>9</v>
      </c>
      <c r="M10" s="46">
        <f t="shared" si="4"/>
        <v>10</v>
      </c>
      <c r="N10" s="46">
        <f t="shared" si="4"/>
        <v>11</v>
      </c>
      <c r="O10" s="46">
        <f t="shared" si="4"/>
        <v>12</v>
      </c>
      <c r="P10" s="46">
        <f t="shared" si="4"/>
        <v>13</v>
      </c>
      <c r="Q10" s="46">
        <f t="shared" si="4"/>
        <v>14</v>
      </c>
      <c r="R10" s="46">
        <f t="shared" si="4"/>
        <v>15</v>
      </c>
      <c r="S10" s="46">
        <f t="shared" si="4"/>
        <v>16</v>
      </c>
      <c r="T10" s="46">
        <f t="shared" si="4"/>
        <v>17</v>
      </c>
      <c r="U10" s="46">
        <f t="shared" si="4"/>
        <v>18</v>
      </c>
      <c r="V10" s="46">
        <f t="shared" si="4"/>
        <v>19</v>
      </c>
      <c r="W10" s="46">
        <f t="shared" si="4"/>
        <v>20</v>
      </c>
      <c r="X10" s="46">
        <f t="shared" si="4"/>
        <v>21</v>
      </c>
      <c r="Y10" s="46">
        <f t="shared" si="4"/>
        <v>22</v>
      </c>
      <c r="Z10" s="46">
        <f t="shared" si="4"/>
        <v>23</v>
      </c>
      <c r="AA10" s="47">
        <f t="shared" si="4"/>
        <v>24</v>
      </c>
      <c r="AB10"/>
    </row>
    <row r="11" spans="1:28" s="13" customFormat="1" x14ac:dyDescent="0.2">
      <c r="C11" s="10" t="s">
        <v>1</v>
      </c>
      <c r="D11" s="52">
        <f>COMBIN($C$10,D10)/COMBIN($C$1,D10)</f>
        <v>0.92</v>
      </c>
      <c r="E11" s="26">
        <f>COMBIN($C$10,E10)/COMBIN($C$1,E10)</f>
        <v>0.84333333333333338</v>
      </c>
      <c r="F11" s="26">
        <f>COMBIN($C$10,F10)/COMBIN($C$1,F10)</f>
        <v>0.77</v>
      </c>
      <c r="G11" s="26">
        <f>COMBIN($C$10,G10)/COMBIN($C$1,G10)</f>
        <v>0.69999999999999984</v>
      </c>
      <c r="H11" s="26">
        <f>COMBIN($C$10,H10)/COMBIN($C$1,H10)</f>
        <v>0.63333333333333353</v>
      </c>
      <c r="I11" s="26">
        <f>COMBIN($C$10,I10)/COMBIN($C$1,I10)</f>
        <v>0.57000000000000006</v>
      </c>
      <c r="J11" s="26">
        <f>COMBIN($C$10,J10)/COMBIN($C$1,J10)</f>
        <v>0.5099999999999999</v>
      </c>
      <c r="K11" s="26">
        <f>COMBIN($C$10,K10)/COMBIN($C$1,K10)</f>
        <v>0.45333333333333331</v>
      </c>
      <c r="L11" s="26">
        <f>COMBIN($C$10,L10)/COMBIN($C$1,L10)</f>
        <v>0.4</v>
      </c>
      <c r="M11" s="26">
        <f>COMBIN($C$10,M10)/COMBIN($C$1,M10)</f>
        <v>0.35000000000000014</v>
      </c>
      <c r="N11" s="26">
        <f>COMBIN($C$10,N10)/COMBIN($C$1,N10)</f>
        <v>0.3033333333333334</v>
      </c>
      <c r="O11" s="26">
        <f>COMBIN($C$10,O10)/COMBIN($C$1,O10)</f>
        <v>0.26</v>
      </c>
      <c r="P11" s="26">
        <f>COMBIN($C$10,P10)/COMBIN($C$1,P10)</f>
        <v>0.22</v>
      </c>
      <c r="Q11" s="26">
        <f>COMBIN($C$10,Q10)/COMBIN($C$1,Q10)</f>
        <v>0.18333333333333332</v>
      </c>
      <c r="R11" s="26">
        <f>COMBIN($C$10,R10)/COMBIN($C$1,R10)</f>
        <v>0.15000000000000002</v>
      </c>
      <c r="S11" s="26">
        <f>COMBIN($C$10,S10)/COMBIN($C$1,S10)</f>
        <v>0.12</v>
      </c>
      <c r="T11" s="26">
        <f>COMBIN($C$10,T10)/COMBIN($C$1,T10)</f>
        <v>9.3333333333333338E-2</v>
      </c>
      <c r="U11" s="26">
        <f>COMBIN($C$10,U10)/COMBIN($C$1,U10)</f>
        <v>6.9999999999999993E-2</v>
      </c>
      <c r="V11" s="26">
        <f>COMBIN($C$10,V10)/COMBIN($C$1,V10)</f>
        <v>5.000000000000001E-2</v>
      </c>
      <c r="W11" s="26">
        <f>COMBIN($C$10,W10)/COMBIN($C$1,W10)</f>
        <v>3.333333333333334E-2</v>
      </c>
      <c r="X11" s="26">
        <f>COMBIN($C$10,X10)/COMBIN($C$1,X10)</f>
        <v>1.9999999999999997E-2</v>
      </c>
      <c r="Y11" s="26">
        <f>COMBIN($C$10,Y10)/COMBIN($C$1,Y10)</f>
        <v>0.01</v>
      </c>
      <c r="Z11" s="26">
        <f>COMBIN($C$10,Z10)/COMBIN($C$1,Z10)</f>
        <v>3.3333333333333335E-3</v>
      </c>
      <c r="AA11" s="44"/>
      <c r="AB11"/>
    </row>
    <row r="12" spans="1:28" s="13" customFormat="1" x14ac:dyDescent="0.2">
      <c r="C12" s="11" t="s">
        <v>6</v>
      </c>
      <c r="D12" s="38">
        <f>1/D11</f>
        <v>1.0869565217391304</v>
      </c>
      <c r="E12" s="27">
        <f t="shared" ref="E12:Z12" si="5">1/E11</f>
        <v>1.1857707509881423</v>
      </c>
      <c r="F12" s="27">
        <f t="shared" si="5"/>
        <v>1.2987012987012987</v>
      </c>
      <c r="G12" s="27">
        <f t="shared" si="5"/>
        <v>1.4285714285714288</v>
      </c>
      <c r="H12" s="27">
        <f t="shared" si="5"/>
        <v>1.5789473684210522</v>
      </c>
      <c r="I12" s="27">
        <f t="shared" si="5"/>
        <v>1.7543859649122806</v>
      </c>
      <c r="J12" s="27">
        <f t="shared" si="5"/>
        <v>1.9607843137254906</v>
      </c>
      <c r="K12" s="27">
        <f t="shared" si="5"/>
        <v>2.2058823529411766</v>
      </c>
      <c r="L12" s="27">
        <f t="shared" si="5"/>
        <v>2.5</v>
      </c>
      <c r="M12" s="27">
        <f t="shared" si="5"/>
        <v>2.8571428571428559</v>
      </c>
      <c r="N12" s="27">
        <f t="shared" si="5"/>
        <v>3.2967032967032961</v>
      </c>
      <c r="O12" s="27">
        <f t="shared" si="5"/>
        <v>3.8461538461538458</v>
      </c>
      <c r="P12" s="27">
        <f t="shared" si="5"/>
        <v>4.5454545454545459</v>
      </c>
      <c r="Q12" s="27">
        <f t="shared" si="5"/>
        <v>5.454545454545455</v>
      </c>
      <c r="R12" s="27">
        <f t="shared" si="5"/>
        <v>6.6666666666666661</v>
      </c>
      <c r="S12" s="27">
        <f t="shared" si="5"/>
        <v>8.3333333333333339</v>
      </c>
      <c r="T12" s="27">
        <f t="shared" si="5"/>
        <v>10.714285714285714</v>
      </c>
      <c r="U12" s="27">
        <f t="shared" si="5"/>
        <v>14.285714285714286</v>
      </c>
      <c r="V12" s="27">
        <f t="shared" si="5"/>
        <v>19.999999999999996</v>
      </c>
      <c r="W12" s="27">
        <f t="shared" si="5"/>
        <v>29.999999999999993</v>
      </c>
      <c r="X12" s="27">
        <f t="shared" si="5"/>
        <v>50.000000000000007</v>
      </c>
      <c r="Y12" s="27">
        <f t="shared" si="5"/>
        <v>100</v>
      </c>
      <c r="Z12" s="27">
        <f t="shared" si="5"/>
        <v>300</v>
      </c>
      <c r="AA12" s="42"/>
      <c r="AB12"/>
    </row>
    <row r="13" spans="1:28" s="13" customFormat="1" ht="16" thickBot="1" x14ac:dyDescent="0.25">
      <c r="C13" s="12" t="s">
        <v>8</v>
      </c>
      <c r="D13" s="32">
        <f>$F$1*D12</f>
        <v>1.0326086956521738</v>
      </c>
      <c r="E13" s="31">
        <f t="shared" ref="E13:Z13" si="6">$F$1*E12</f>
        <v>1.1264822134387351</v>
      </c>
      <c r="F13" s="31">
        <f t="shared" si="6"/>
        <v>1.2337662337662336</v>
      </c>
      <c r="G13" s="31">
        <f t="shared" si="6"/>
        <v>1.3571428571428574</v>
      </c>
      <c r="H13" s="31">
        <f t="shared" si="6"/>
        <v>1.4999999999999996</v>
      </c>
      <c r="I13" s="31">
        <f t="shared" si="6"/>
        <v>1.6666666666666665</v>
      </c>
      <c r="J13" s="31">
        <f t="shared" si="6"/>
        <v>1.862745098039216</v>
      </c>
      <c r="K13" s="31">
        <f t="shared" si="6"/>
        <v>2.0955882352941178</v>
      </c>
      <c r="L13" s="31">
        <f t="shared" si="6"/>
        <v>2.375</v>
      </c>
      <c r="M13" s="31">
        <f t="shared" si="6"/>
        <v>2.7142857142857131</v>
      </c>
      <c r="N13" s="31">
        <f t="shared" si="6"/>
        <v>3.131868131868131</v>
      </c>
      <c r="O13" s="31">
        <f t="shared" si="6"/>
        <v>3.6538461538461533</v>
      </c>
      <c r="P13" s="31">
        <f t="shared" si="6"/>
        <v>4.3181818181818183</v>
      </c>
      <c r="Q13" s="31">
        <f t="shared" si="6"/>
        <v>5.1818181818181817</v>
      </c>
      <c r="R13" s="31">
        <f t="shared" si="6"/>
        <v>6.3333333333333321</v>
      </c>
      <c r="S13" s="31">
        <f t="shared" si="6"/>
        <v>7.916666666666667</v>
      </c>
      <c r="T13" s="31">
        <f t="shared" si="6"/>
        <v>10.178571428571427</v>
      </c>
      <c r="U13" s="31">
        <f t="shared" si="6"/>
        <v>13.571428571428571</v>
      </c>
      <c r="V13" s="31">
        <f t="shared" si="6"/>
        <v>18.999999999999996</v>
      </c>
      <c r="W13" s="31">
        <f t="shared" si="6"/>
        <v>28.499999999999993</v>
      </c>
      <c r="X13" s="31">
        <f t="shared" si="6"/>
        <v>47.500000000000007</v>
      </c>
      <c r="Y13" s="31">
        <f t="shared" si="6"/>
        <v>95</v>
      </c>
      <c r="Z13" s="31">
        <f t="shared" si="6"/>
        <v>285</v>
      </c>
      <c r="AA13" s="43"/>
      <c r="AB13"/>
    </row>
    <row r="14" spans="1:28" ht="16" thickBot="1" x14ac:dyDescent="0.25"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8" s="13" customFormat="1" ht="16" thickBot="1" x14ac:dyDescent="0.25">
      <c r="A15" s="3" t="s">
        <v>16</v>
      </c>
      <c r="B15" s="14" t="s">
        <v>2</v>
      </c>
      <c r="C15" s="9" t="s">
        <v>3</v>
      </c>
      <c r="D15" s="58" t="s">
        <v>5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A15" s="41"/>
      <c r="AB15"/>
    </row>
    <row r="16" spans="1:28" s="13" customFormat="1" ht="16" thickBot="1" x14ac:dyDescent="0.25">
      <c r="A16" s="7"/>
      <c r="B16" s="9">
        <v>3</v>
      </c>
      <c r="C16" s="6">
        <f>$C$1-B16</f>
        <v>22</v>
      </c>
      <c r="D16" s="45">
        <v>1</v>
      </c>
      <c r="E16" s="46">
        <f>D16+1</f>
        <v>2</v>
      </c>
      <c r="F16" s="46">
        <f t="shared" ref="F16:Z16" si="7">E16+1</f>
        <v>3</v>
      </c>
      <c r="G16" s="46">
        <f t="shared" si="7"/>
        <v>4</v>
      </c>
      <c r="H16" s="46">
        <f t="shared" si="7"/>
        <v>5</v>
      </c>
      <c r="I16" s="46">
        <f t="shared" si="7"/>
        <v>6</v>
      </c>
      <c r="J16" s="46">
        <f t="shared" si="7"/>
        <v>7</v>
      </c>
      <c r="K16" s="46">
        <f t="shared" si="7"/>
        <v>8</v>
      </c>
      <c r="L16" s="46">
        <f t="shared" si="7"/>
        <v>9</v>
      </c>
      <c r="M16" s="46">
        <f t="shared" si="7"/>
        <v>10</v>
      </c>
      <c r="N16" s="46">
        <f t="shared" si="7"/>
        <v>11</v>
      </c>
      <c r="O16" s="46">
        <f t="shared" si="7"/>
        <v>12</v>
      </c>
      <c r="P16" s="46">
        <f t="shared" si="7"/>
        <v>13</v>
      </c>
      <c r="Q16" s="46">
        <f t="shared" si="7"/>
        <v>14</v>
      </c>
      <c r="R16" s="46">
        <f t="shared" si="7"/>
        <v>15</v>
      </c>
      <c r="S16" s="46">
        <f t="shared" si="7"/>
        <v>16</v>
      </c>
      <c r="T16" s="46">
        <f t="shared" si="7"/>
        <v>17</v>
      </c>
      <c r="U16" s="46">
        <f t="shared" si="7"/>
        <v>18</v>
      </c>
      <c r="V16" s="46">
        <f t="shared" si="7"/>
        <v>19</v>
      </c>
      <c r="W16" s="46">
        <f t="shared" si="7"/>
        <v>20</v>
      </c>
      <c r="X16" s="46">
        <f t="shared" si="7"/>
        <v>21</v>
      </c>
      <c r="Y16" s="46">
        <f t="shared" si="7"/>
        <v>22</v>
      </c>
      <c r="Z16" s="47">
        <f t="shared" si="7"/>
        <v>23</v>
      </c>
      <c r="AA16" s="41"/>
      <c r="AB16"/>
    </row>
    <row r="17" spans="1:28" s="13" customFormat="1" x14ac:dyDescent="0.2">
      <c r="C17" s="10" t="s">
        <v>1</v>
      </c>
      <c r="D17" s="52">
        <f>COMBIN($C$16,D16)/COMBIN($C$1,D16)</f>
        <v>0.88</v>
      </c>
      <c r="E17" s="26">
        <f>COMBIN($C$16,E16)/COMBIN($C$1,E16)</f>
        <v>0.77</v>
      </c>
      <c r="F17" s="26">
        <f>COMBIN($C$16,F16)/COMBIN($C$1,F16)</f>
        <v>0.66956521739130437</v>
      </c>
      <c r="G17" s="26">
        <f>COMBIN($C$16,G16)/COMBIN($C$1,G16)</f>
        <v>0.57826086956521727</v>
      </c>
      <c r="H17" s="26">
        <f>COMBIN($C$16,H16)/COMBIN($C$1,H16)</f>
        <v>0.49565217391304356</v>
      </c>
      <c r="I17" s="26">
        <f>COMBIN($C$16,I16)/COMBIN($C$1,I16)</f>
        <v>0.421304347826087</v>
      </c>
      <c r="J17" s="26">
        <f>COMBIN($C$16,J16)/COMBIN($C$1,J16)</f>
        <v>0.35478260869565209</v>
      </c>
      <c r="K17" s="26">
        <f>COMBIN($C$16,K16)/COMBIN($C$1,K16)</f>
        <v>0.29565217391304349</v>
      </c>
      <c r="L17" s="26">
        <f>COMBIN($C$16,L16)/COMBIN($C$1,L16)</f>
        <v>0.24347826086956523</v>
      </c>
      <c r="M17" s="26">
        <f>COMBIN($C$16,M16)/COMBIN($C$1,M16)</f>
        <v>0.19782608695652179</v>
      </c>
      <c r="N17" s="26">
        <f>COMBIN($C$16,N16)/COMBIN($C$1,N16)</f>
        <v>0.1582608695652174</v>
      </c>
      <c r="O17" s="26">
        <f>COMBIN($C$16,O16)/COMBIN($C$1,O16)</f>
        <v>0.12434782608695652</v>
      </c>
      <c r="P17" s="26">
        <f>COMBIN($C$16,P16)/COMBIN($C$1,P16)</f>
        <v>9.5652173913043467E-2</v>
      </c>
      <c r="Q17" s="26">
        <f>COMBIN($C$16,Q16)/COMBIN($C$1,Q16)</f>
        <v>7.1739130434782611E-2</v>
      </c>
      <c r="R17" s="26">
        <f>COMBIN($C$16,R16)/COMBIN($C$1,R16)</f>
        <v>5.2173913043478265E-2</v>
      </c>
      <c r="S17" s="26">
        <f>COMBIN($C$16,S16)/COMBIN($C$1,S16)</f>
        <v>3.6521739130434785E-2</v>
      </c>
      <c r="T17" s="26">
        <f>COMBIN($C$16,T16)/COMBIN($C$1,T16)</f>
        <v>2.4347826086956521E-2</v>
      </c>
      <c r="U17" s="26">
        <f>COMBIN($C$16,U16)/COMBIN($C$1,U16)</f>
        <v>1.5217391304347823E-2</v>
      </c>
      <c r="V17" s="26">
        <f>COMBIN($C$16,V16)/COMBIN($C$1,V16)</f>
        <v>8.6956521739130453E-3</v>
      </c>
      <c r="W17" s="26">
        <f>COMBIN($C$16,W16)/COMBIN($C$1,W16)</f>
        <v>4.3478260869565227E-3</v>
      </c>
      <c r="X17" s="26">
        <f>COMBIN($C$16,X16)/COMBIN($C$1,X16)</f>
        <v>1.7391304347826085E-3</v>
      </c>
      <c r="Y17" s="26">
        <f>COMBIN($C$16,Y16)/COMBIN($C$1,Y16)</f>
        <v>4.3478260869565219E-4</v>
      </c>
      <c r="Z17" s="44"/>
      <c r="AA17" s="41"/>
      <c r="AB17"/>
    </row>
    <row r="18" spans="1:28" s="13" customFormat="1" x14ac:dyDescent="0.2">
      <c r="C18" s="11" t="s">
        <v>6</v>
      </c>
      <c r="D18" s="38">
        <f>1/D17</f>
        <v>1.1363636363636365</v>
      </c>
      <c r="E18" s="27">
        <f t="shared" ref="E18:Y18" si="8">1/E17</f>
        <v>1.2987012987012987</v>
      </c>
      <c r="F18" s="27">
        <f t="shared" si="8"/>
        <v>1.4935064935064934</v>
      </c>
      <c r="G18" s="27">
        <f t="shared" si="8"/>
        <v>1.7293233082706772</v>
      </c>
      <c r="H18" s="27">
        <f t="shared" si="8"/>
        <v>2.0175438596491224</v>
      </c>
      <c r="I18" s="27">
        <f t="shared" si="8"/>
        <v>2.3735810113519089</v>
      </c>
      <c r="J18" s="27">
        <f t="shared" si="8"/>
        <v>2.8186274509803928</v>
      </c>
      <c r="K18" s="27">
        <f t="shared" si="8"/>
        <v>3.3823529411764706</v>
      </c>
      <c r="L18" s="27">
        <f t="shared" si="8"/>
        <v>4.1071428571428568</v>
      </c>
      <c r="M18" s="27">
        <f t="shared" si="8"/>
        <v>5.0549450549450539</v>
      </c>
      <c r="N18" s="27">
        <f t="shared" si="8"/>
        <v>6.3186813186813184</v>
      </c>
      <c r="O18" s="27">
        <f t="shared" si="8"/>
        <v>8.0419580419580416</v>
      </c>
      <c r="P18" s="27">
        <f t="shared" si="8"/>
        <v>10.454545454545455</v>
      </c>
      <c r="Q18" s="27">
        <f t="shared" si="8"/>
        <v>13.939393939393939</v>
      </c>
      <c r="R18" s="27">
        <f t="shared" si="8"/>
        <v>19.166666666666664</v>
      </c>
      <c r="S18" s="27">
        <f t="shared" si="8"/>
        <v>27.38095238095238</v>
      </c>
      <c r="T18" s="27">
        <f t="shared" si="8"/>
        <v>41.071428571428569</v>
      </c>
      <c r="U18" s="27">
        <f t="shared" si="8"/>
        <v>65.714285714285722</v>
      </c>
      <c r="V18" s="27">
        <f t="shared" si="8"/>
        <v>114.99999999999997</v>
      </c>
      <c r="W18" s="27">
        <f t="shared" si="8"/>
        <v>229.99999999999994</v>
      </c>
      <c r="X18" s="27">
        <f t="shared" si="8"/>
        <v>575</v>
      </c>
      <c r="Y18" s="27">
        <f t="shared" si="8"/>
        <v>2300</v>
      </c>
      <c r="Z18" s="42"/>
      <c r="AA18" s="41"/>
      <c r="AB18"/>
    </row>
    <row r="19" spans="1:28" s="13" customFormat="1" ht="16" thickBot="1" x14ac:dyDescent="0.25">
      <c r="C19" s="12" t="s">
        <v>8</v>
      </c>
      <c r="D19" s="32">
        <f>$F$1*D18</f>
        <v>1.0795454545454546</v>
      </c>
      <c r="E19" s="31">
        <f t="shared" ref="E19:Y19" si="9">$F$1*E18</f>
        <v>1.2337662337662336</v>
      </c>
      <c r="F19" s="31">
        <f t="shared" si="9"/>
        <v>1.4188311688311688</v>
      </c>
      <c r="G19" s="31">
        <f t="shared" si="9"/>
        <v>1.6428571428571432</v>
      </c>
      <c r="H19" s="31">
        <f t="shared" si="9"/>
        <v>1.9166666666666663</v>
      </c>
      <c r="I19" s="31">
        <f t="shared" si="9"/>
        <v>2.2549019607843133</v>
      </c>
      <c r="J19" s="31">
        <f t="shared" si="9"/>
        <v>2.677696078431373</v>
      </c>
      <c r="K19" s="31">
        <f t="shared" si="9"/>
        <v>3.2132352941176467</v>
      </c>
      <c r="L19" s="31">
        <f t="shared" si="9"/>
        <v>3.9017857142857135</v>
      </c>
      <c r="M19" s="31">
        <f t="shared" si="9"/>
        <v>4.8021978021978011</v>
      </c>
      <c r="N19" s="31">
        <f t="shared" si="9"/>
        <v>6.0027472527472518</v>
      </c>
      <c r="O19" s="31">
        <f t="shared" si="9"/>
        <v>7.6398601398601391</v>
      </c>
      <c r="P19" s="31">
        <f t="shared" si="9"/>
        <v>9.9318181818181817</v>
      </c>
      <c r="Q19" s="31">
        <f t="shared" si="9"/>
        <v>13.242424242424242</v>
      </c>
      <c r="R19" s="31">
        <f t="shared" si="9"/>
        <v>18.208333333333329</v>
      </c>
      <c r="S19" s="31">
        <f t="shared" si="9"/>
        <v>26.011904761904759</v>
      </c>
      <c r="T19" s="31">
        <f t="shared" si="9"/>
        <v>39.017857142857139</v>
      </c>
      <c r="U19" s="31">
        <f t="shared" si="9"/>
        <v>62.428571428571431</v>
      </c>
      <c r="V19" s="31">
        <f t="shared" si="9"/>
        <v>109.24999999999997</v>
      </c>
      <c r="W19" s="31">
        <f t="shared" si="9"/>
        <v>218.49999999999994</v>
      </c>
      <c r="X19" s="31">
        <f t="shared" si="9"/>
        <v>546.25</v>
      </c>
      <c r="Y19" s="31">
        <f t="shared" si="9"/>
        <v>2185</v>
      </c>
      <c r="Z19" s="43"/>
      <c r="AA19" s="41"/>
      <c r="AB19"/>
    </row>
    <row r="20" spans="1:28" ht="16" thickBot="1" x14ac:dyDescent="0.25"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8" s="13" customFormat="1" ht="16" thickBot="1" x14ac:dyDescent="0.25">
      <c r="A21" s="3" t="s">
        <v>17</v>
      </c>
      <c r="B21" s="14" t="s">
        <v>2</v>
      </c>
      <c r="C21" s="9" t="s">
        <v>3</v>
      </c>
      <c r="D21" s="58" t="s">
        <v>5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60"/>
      <c r="Z21" s="41"/>
      <c r="AA21" s="41"/>
      <c r="AB21"/>
    </row>
    <row r="22" spans="1:28" s="13" customFormat="1" ht="16" thickBot="1" x14ac:dyDescent="0.25">
      <c r="A22" s="7"/>
      <c r="B22" s="9">
        <v>4</v>
      </c>
      <c r="C22" s="6">
        <f>$C$1-B22</f>
        <v>21</v>
      </c>
      <c r="D22" s="45">
        <v>1</v>
      </c>
      <c r="E22" s="46">
        <f>D22+1</f>
        <v>2</v>
      </c>
      <c r="F22" s="46">
        <f t="shared" ref="F22:Y22" si="10">E22+1</f>
        <v>3</v>
      </c>
      <c r="G22" s="46">
        <f t="shared" si="10"/>
        <v>4</v>
      </c>
      <c r="H22" s="46">
        <f t="shared" si="10"/>
        <v>5</v>
      </c>
      <c r="I22" s="46">
        <f t="shared" si="10"/>
        <v>6</v>
      </c>
      <c r="J22" s="46">
        <f t="shared" si="10"/>
        <v>7</v>
      </c>
      <c r="K22" s="46">
        <f t="shared" si="10"/>
        <v>8</v>
      </c>
      <c r="L22" s="46">
        <f t="shared" si="10"/>
        <v>9</v>
      </c>
      <c r="M22" s="46">
        <f t="shared" si="10"/>
        <v>10</v>
      </c>
      <c r="N22" s="46">
        <f t="shared" si="10"/>
        <v>11</v>
      </c>
      <c r="O22" s="46">
        <f t="shared" si="10"/>
        <v>12</v>
      </c>
      <c r="P22" s="46">
        <f t="shared" si="10"/>
        <v>13</v>
      </c>
      <c r="Q22" s="46">
        <f t="shared" si="10"/>
        <v>14</v>
      </c>
      <c r="R22" s="46">
        <f t="shared" si="10"/>
        <v>15</v>
      </c>
      <c r="S22" s="46">
        <f t="shared" si="10"/>
        <v>16</v>
      </c>
      <c r="T22" s="46">
        <f t="shared" si="10"/>
        <v>17</v>
      </c>
      <c r="U22" s="46">
        <f t="shared" si="10"/>
        <v>18</v>
      </c>
      <c r="V22" s="46">
        <f t="shared" si="10"/>
        <v>19</v>
      </c>
      <c r="W22" s="46">
        <f t="shared" si="10"/>
        <v>20</v>
      </c>
      <c r="X22" s="46">
        <f t="shared" si="10"/>
        <v>21</v>
      </c>
      <c r="Y22" s="47">
        <f t="shared" si="10"/>
        <v>22</v>
      </c>
      <c r="Z22" s="41"/>
      <c r="AA22" s="41"/>
      <c r="AB22"/>
    </row>
    <row r="23" spans="1:28" s="13" customFormat="1" x14ac:dyDescent="0.2">
      <c r="C23" s="10" t="s">
        <v>1</v>
      </c>
      <c r="D23" s="26">
        <f>COMBIN($C$22,D22)/COMBIN($C$1,D22)</f>
        <v>0.84</v>
      </c>
      <c r="E23" s="26">
        <f>COMBIN($C$22,E22)/COMBIN($C$1,E22)</f>
        <v>0.7</v>
      </c>
      <c r="F23" s="26">
        <f>COMBIN($C$22,F22)/COMBIN($C$1,F22)</f>
        <v>0.57826086956521738</v>
      </c>
      <c r="G23" s="26">
        <f>COMBIN($C$22,G22)/COMBIN($C$1,G22)</f>
        <v>0.47312252964426871</v>
      </c>
      <c r="H23" s="26">
        <f>COMBIN($C$22,H22)/COMBIN($C$1,H22)</f>
        <v>0.38300395256917003</v>
      </c>
      <c r="I23" s="26">
        <f>COMBIN($C$22,I22)/COMBIN($C$1,I22)</f>
        <v>0.30640316205533602</v>
      </c>
      <c r="J23" s="26">
        <f>COMBIN($C$22,J22)/COMBIN($C$1,J22)</f>
        <v>0.24189723320158096</v>
      </c>
      <c r="K23" s="26">
        <f>COMBIN($C$22,K22)/COMBIN($C$1,K22)</f>
        <v>0.18814229249011857</v>
      </c>
      <c r="L23" s="26">
        <f>COMBIN($C$22,L22)/COMBIN($C$1,L22)</f>
        <v>0.14387351778656129</v>
      </c>
      <c r="M23" s="26">
        <f>COMBIN($C$22,M22)/COMBIN($C$1,M22)</f>
        <v>0.10790513833992096</v>
      </c>
      <c r="N23" s="26">
        <f>COMBIN($C$22,N22)/COMBIN($C$1,N22)</f>
        <v>7.91304347826087E-2</v>
      </c>
      <c r="O23" s="26">
        <f>COMBIN($C$22,O22)/COMBIN($C$1,O22)</f>
        <v>5.6521739130434782E-2</v>
      </c>
      <c r="P23" s="26">
        <f>COMBIN($C$22,P22)/COMBIN($C$1,P22)</f>
        <v>3.9130434782608692E-2</v>
      </c>
      <c r="Q23" s="26">
        <f>COMBIN($C$22,Q22)/COMBIN($C$1,Q22)</f>
        <v>2.6086956521739129E-2</v>
      </c>
      <c r="R23" s="26">
        <f>COMBIN($C$22,R22)/COMBIN($C$1,R22)</f>
        <v>1.6600790513833993E-2</v>
      </c>
      <c r="S23" s="26">
        <f>COMBIN($C$22,S22)/COMBIN($C$1,S22)</f>
        <v>9.960474308300396E-3</v>
      </c>
      <c r="T23" s="26">
        <f>COMBIN($C$22,T22)/COMBIN($C$1,T22)</f>
        <v>5.5335968379446642E-3</v>
      </c>
      <c r="U23" s="26">
        <f>COMBIN($C$22,U22)/COMBIN($C$1,U22)</f>
        <v>2.7667984189723312E-3</v>
      </c>
      <c r="V23" s="26">
        <f>COMBIN($C$22,V22)/COMBIN($C$1,V22)</f>
        <v>1.1857707509881424E-3</v>
      </c>
      <c r="W23" s="26">
        <f>COMBIN($C$22,W22)/COMBIN($C$1,W22)</f>
        <v>3.9525691699604748E-4</v>
      </c>
      <c r="X23" s="26">
        <f>COMBIN($C$22,X22)/COMBIN($C$1,X22)</f>
        <v>7.9051383399209474E-5</v>
      </c>
      <c r="Y23" s="44"/>
      <c r="Z23" s="41"/>
      <c r="AA23" s="41"/>
      <c r="AB23"/>
    </row>
    <row r="24" spans="1:28" s="13" customFormat="1" x14ac:dyDescent="0.2">
      <c r="C24" s="11" t="s">
        <v>6</v>
      </c>
      <c r="D24" s="38">
        <f>1/D23</f>
        <v>1.1904761904761905</v>
      </c>
      <c r="E24" s="27">
        <f t="shared" ref="E24:X24" si="11">1/E23</f>
        <v>1.4285714285714286</v>
      </c>
      <c r="F24" s="27">
        <f t="shared" si="11"/>
        <v>1.7293233082706767</v>
      </c>
      <c r="G24" s="27">
        <f t="shared" si="11"/>
        <v>2.1136173767752719</v>
      </c>
      <c r="H24" s="27">
        <f t="shared" si="11"/>
        <v>2.6109391124870998</v>
      </c>
      <c r="I24" s="27">
        <f t="shared" si="11"/>
        <v>3.2636738906088745</v>
      </c>
      <c r="J24" s="27">
        <f t="shared" si="11"/>
        <v>4.1339869281045765</v>
      </c>
      <c r="K24" s="27">
        <f t="shared" si="11"/>
        <v>5.3151260504201678</v>
      </c>
      <c r="L24" s="27">
        <f t="shared" si="11"/>
        <v>6.9505494505494489</v>
      </c>
      <c r="M24" s="27">
        <f t="shared" si="11"/>
        <v>9.2673992673992664</v>
      </c>
      <c r="N24" s="27">
        <f t="shared" si="11"/>
        <v>12.637362637362637</v>
      </c>
      <c r="O24" s="27">
        <f t="shared" si="11"/>
        <v>17.692307692307693</v>
      </c>
      <c r="P24" s="27">
        <f t="shared" si="11"/>
        <v>25.555555555555557</v>
      </c>
      <c r="Q24" s="27">
        <f t="shared" si="11"/>
        <v>38.333333333333336</v>
      </c>
      <c r="R24" s="27">
        <f t="shared" si="11"/>
        <v>60.238095238095234</v>
      </c>
      <c r="S24" s="27">
        <f t="shared" si="11"/>
        <v>100.39682539682539</v>
      </c>
      <c r="T24" s="27">
        <f t="shared" si="11"/>
        <v>180.71428571428572</v>
      </c>
      <c r="U24" s="27">
        <f t="shared" si="11"/>
        <v>361.42857142857156</v>
      </c>
      <c r="V24" s="27">
        <f t="shared" si="11"/>
        <v>843.33333333333326</v>
      </c>
      <c r="W24" s="27">
        <f t="shared" si="11"/>
        <v>2529.9999999999995</v>
      </c>
      <c r="X24" s="27">
        <f t="shared" si="11"/>
        <v>12650.000000000002</v>
      </c>
      <c r="Y24" s="42"/>
      <c r="Z24" s="41"/>
      <c r="AA24" s="41"/>
      <c r="AB24"/>
    </row>
    <row r="25" spans="1:28" s="13" customFormat="1" ht="16" thickBot="1" x14ac:dyDescent="0.25">
      <c r="C25" s="12" t="s">
        <v>8</v>
      </c>
      <c r="D25" s="32">
        <f>$F$1*D24</f>
        <v>1.1309523809523809</v>
      </c>
      <c r="E25" s="31">
        <f t="shared" ref="E25:X25" si="12">$F$1*E24</f>
        <v>1.3571428571428572</v>
      </c>
      <c r="F25" s="31">
        <f t="shared" si="12"/>
        <v>1.6428571428571428</v>
      </c>
      <c r="G25" s="31">
        <f t="shared" si="12"/>
        <v>2.0079365079365084</v>
      </c>
      <c r="H25" s="31">
        <f t="shared" si="12"/>
        <v>2.4803921568627447</v>
      </c>
      <c r="I25" s="31">
        <f t="shared" si="12"/>
        <v>3.1004901960784306</v>
      </c>
      <c r="J25" s="31">
        <f t="shared" si="12"/>
        <v>3.9272875816993476</v>
      </c>
      <c r="K25" s="31">
        <f t="shared" si="12"/>
        <v>5.049369747899159</v>
      </c>
      <c r="L25" s="31">
        <f t="shared" si="12"/>
        <v>6.6030219780219763</v>
      </c>
      <c r="M25" s="31">
        <f t="shared" si="12"/>
        <v>8.8040293040293029</v>
      </c>
      <c r="N25" s="31">
        <f t="shared" si="12"/>
        <v>12.005494505494504</v>
      </c>
      <c r="O25" s="31">
        <f t="shared" si="12"/>
        <v>16.807692307692307</v>
      </c>
      <c r="P25" s="31">
        <f t="shared" si="12"/>
        <v>24.277777777777779</v>
      </c>
      <c r="Q25" s="31">
        <f t="shared" si="12"/>
        <v>36.416666666666664</v>
      </c>
      <c r="R25" s="31">
        <f t="shared" si="12"/>
        <v>57.226190476190467</v>
      </c>
      <c r="S25" s="31">
        <f t="shared" si="12"/>
        <v>95.376984126984112</v>
      </c>
      <c r="T25" s="31">
        <f t="shared" si="12"/>
        <v>171.67857142857142</v>
      </c>
      <c r="U25" s="31">
        <f t="shared" si="12"/>
        <v>343.35714285714295</v>
      </c>
      <c r="V25" s="31">
        <f t="shared" si="12"/>
        <v>801.16666666666652</v>
      </c>
      <c r="W25" s="31">
        <f t="shared" si="12"/>
        <v>2403.4999999999995</v>
      </c>
      <c r="X25" s="31">
        <f t="shared" si="12"/>
        <v>12017.500000000002</v>
      </c>
      <c r="Y25" s="43"/>
      <c r="Z25" s="41"/>
      <c r="AA25" s="41"/>
      <c r="AB25"/>
    </row>
    <row r="26" spans="1:28" ht="16" thickBot="1" x14ac:dyDescent="0.25"/>
    <row r="27" spans="1:28" s="13" customFormat="1" ht="16" thickBot="1" x14ac:dyDescent="0.25">
      <c r="A27" s="3" t="s">
        <v>18</v>
      </c>
      <c r="B27" s="14" t="s">
        <v>2</v>
      </c>
      <c r="C27" s="9" t="s">
        <v>3</v>
      </c>
      <c r="D27" s="55" t="s">
        <v>5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7"/>
      <c r="Y27"/>
      <c r="Z27"/>
      <c r="AA27"/>
      <c r="AB27"/>
    </row>
    <row r="28" spans="1:28" s="13" customFormat="1" ht="16" thickBot="1" x14ac:dyDescent="0.25">
      <c r="A28" s="7"/>
      <c r="B28" s="9">
        <v>5</v>
      </c>
      <c r="C28" s="6">
        <f>$C$1-B28</f>
        <v>20</v>
      </c>
      <c r="D28" s="14">
        <v>1</v>
      </c>
      <c r="E28" s="15">
        <f>D28+1</f>
        <v>2</v>
      </c>
      <c r="F28" s="15">
        <f t="shared" ref="F28:X28" si="13">E28+1</f>
        <v>3</v>
      </c>
      <c r="G28" s="15">
        <f t="shared" si="13"/>
        <v>4</v>
      </c>
      <c r="H28" s="15">
        <f t="shared" si="13"/>
        <v>5</v>
      </c>
      <c r="I28" s="15">
        <f t="shared" si="13"/>
        <v>6</v>
      </c>
      <c r="J28" s="15">
        <f t="shared" si="13"/>
        <v>7</v>
      </c>
      <c r="K28" s="15">
        <f t="shared" si="13"/>
        <v>8</v>
      </c>
      <c r="L28" s="15">
        <f t="shared" si="13"/>
        <v>9</v>
      </c>
      <c r="M28" s="15">
        <f t="shared" si="13"/>
        <v>10</v>
      </c>
      <c r="N28" s="15">
        <f t="shared" si="13"/>
        <v>11</v>
      </c>
      <c r="O28" s="15">
        <f t="shared" si="13"/>
        <v>12</v>
      </c>
      <c r="P28" s="15">
        <f t="shared" si="13"/>
        <v>13</v>
      </c>
      <c r="Q28" s="15">
        <f t="shared" si="13"/>
        <v>14</v>
      </c>
      <c r="R28" s="15">
        <f t="shared" si="13"/>
        <v>15</v>
      </c>
      <c r="S28" s="15">
        <f t="shared" si="13"/>
        <v>16</v>
      </c>
      <c r="T28" s="15">
        <f t="shared" si="13"/>
        <v>17</v>
      </c>
      <c r="U28" s="15">
        <f t="shared" si="13"/>
        <v>18</v>
      </c>
      <c r="V28" s="15">
        <f t="shared" si="13"/>
        <v>19</v>
      </c>
      <c r="W28" s="15">
        <f t="shared" si="13"/>
        <v>20</v>
      </c>
      <c r="X28" s="16">
        <f t="shared" si="13"/>
        <v>21</v>
      </c>
      <c r="Y28"/>
      <c r="Z28"/>
      <c r="AA28"/>
      <c r="AB28"/>
    </row>
    <row r="29" spans="1:28" s="13" customFormat="1" x14ac:dyDescent="0.2">
      <c r="C29" s="10" t="s">
        <v>1</v>
      </c>
      <c r="D29" s="51">
        <f>COMBIN($C$28,D28)/COMBIN($C$1,D28)</f>
        <v>0.8</v>
      </c>
      <c r="E29" s="26">
        <f>COMBIN($C$28,E28)/COMBIN($C$1,E28)</f>
        <v>0.6333333333333333</v>
      </c>
      <c r="F29" s="26">
        <f>COMBIN($C$28,F28)/COMBIN($C$1,F28)</f>
        <v>0.4956521739130435</v>
      </c>
      <c r="G29" s="26">
        <f>COMBIN($C$28,G28)/COMBIN($C$1,G28)</f>
        <v>0.38300395256916991</v>
      </c>
      <c r="H29" s="26">
        <f>COMBIN($C$28,H28)/COMBIN($C$1,H28)</f>
        <v>0.29181253529079615</v>
      </c>
      <c r="I29" s="26">
        <f>COMBIN($C$28,I28)/COMBIN($C$1,I28)</f>
        <v>0.21885940146809715</v>
      </c>
      <c r="J29" s="26">
        <f>COMBIN($C$28,J28)/COMBIN($C$1,J28)</f>
        <v>0.16126482213438731</v>
      </c>
      <c r="K29" s="26">
        <f>COMBIN($C$28,K28)/COMBIN($C$1,K28)</f>
        <v>0.11646903820816866</v>
      </c>
      <c r="L29" s="26">
        <f>COMBIN($C$28,L28)/COMBIN($C$1,L28)</f>
        <v>8.2213438735177863E-2</v>
      </c>
      <c r="M29" s="26">
        <f>COMBIN($C$28,M28)/COMBIN($C$1,M28)</f>
        <v>5.6521739130434789E-2</v>
      </c>
      <c r="N29" s="26">
        <f>COMBIN($C$28,N28)/COMBIN($C$1,N28)</f>
        <v>3.7681159420289857E-2</v>
      </c>
      <c r="O29" s="26">
        <f>COMBIN($C$28,O28)/COMBIN($C$1,O28)</f>
        <v>2.422360248447205E-2</v>
      </c>
      <c r="P29" s="26">
        <f>COMBIN($C$28,P28)/COMBIN($C$1,P28)</f>
        <v>1.4906832298136644E-2</v>
      </c>
      <c r="Q29" s="26">
        <f>COMBIN($C$28,Q28)/COMBIN($C$1,Q28)</f>
        <v>8.6956521739130436E-3</v>
      </c>
      <c r="R29" s="26">
        <f>COMBIN($C$28,R28)/COMBIN($C$1,R28)</f>
        <v>4.7430830039525695E-3</v>
      </c>
      <c r="S29" s="26">
        <f>COMBIN($C$28,S28)/COMBIN($C$1,S28)</f>
        <v>2.3715415019762848E-3</v>
      </c>
      <c r="T29" s="26">
        <f>COMBIN($C$28,T28)/COMBIN($C$1,T28)</f>
        <v>1.0540184453227931E-3</v>
      </c>
      <c r="U29" s="26">
        <f>COMBIN($C$28,U28)/COMBIN($C$1,U28)</f>
        <v>3.9525691699604732E-4</v>
      </c>
      <c r="V29" s="26">
        <f>COMBIN($C$28,V28)/COMBIN($C$1,V28)</f>
        <v>1.1293054771315642E-4</v>
      </c>
      <c r="W29" s="23">
        <f>COMBIN($C$28,W28)/COMBIN($C$1,W28)</f>
        <v>1.8821757952192737E-5</v>
      </c>
      <c r="X29" s="44"/>
      <c r="Y29"/>
      <c r="Z29"/>
      <c r="AA29"/>
      <c r="AB29"/>
    </row>
    <row r="30" spans="1:28" s="13" customFormat="1" x14ac:dyDescent="0.2">
      <c r="C30" s="11" t="s">
        <v>6</v>
      </c>
      <c r="D30" s="39">
        <f>1/D29</f>
        <v>1.25</v>
      </c>
      <c r="E30" s="27">
        <f t="shared" ref="E30:W30" si="14">1/E29</f>
        <v>1.5789473684210527</v>
      </c>
      <c r="F30" s="27">
        <f t="shared" si="14"/>
        <v>2.0175438596491229</v>
      </c>
      <c r="G30" s="27">
        <f t="shared" si="14"/>
        <v>2.6109391124871002</v>
      </c>
      <c r="H30" s="27">
        <f t="shared" si="14"/>
        <v>3.4268575851393188</v>
      </c>
      <c r="I30" s="27">
        <f t="shared" si="14"/>
        <v>4.5691434468524248</v>
      </c>
      <c r="J30" s="27">
        <f t="shared" si="14"/>
        <v>6.2009803921568647</v>
      </c>
      <c r="K30" s="27">
        <f t="shared" si="14"/>
        <v>8.5859728506787309</v>
      </c>
      <c r="L30" s="27">
        <f t="shared" si="14"/>
        <v>12.163461538461538</v>
      </c>
      <c r="M30" s="27">
        <f t="shared" si="14"/>
        <v>17.69230769230769</v>
      </c>
      <c r="N30" s="27">
        <f t="shared" si="14"/>
        <v>26.538461538461537</v>
      </c>
      <c r="O30" s="27">
        <f t="shared" si="14"/>
        <v>41.282051282051285</v>
      </c>
      <c r="P30" s="27">
        <f t="shared" si="14"/>
        <v>67.083333333333343</v>
      </c>
      <c r="Q30" s="27">
        <f t="shared" si="14"/>
        <v>115</v>
      </c>
      <c r="R30" s="27">
        <f t="shared" si="14"/>
        <v>210.83333333333331</v>
      </c>
      <c r="S30" s="27">
        <f t="shared" si="14"/>
        <v>421.66666666666663</v>
      </c>
      <c r="T30" s="27">
        <f t="shared" si="14"/>
        <v>948.75000000000011</v>
      </c>
      <c r="U30" s="27">
        <f t="shared" si="14"/>
        <v>2530.0000000000009</v>
      </c>
      <c r="V30" s="27">
        <f t="shared" si="14"/>
        <v>8854.9999999999982</v>
      </c>
      <c r="W30" s="27">
        <f t="shared" si="14"/>
        <v>53129.999999999993</v>
      </c>
      <c r="X30" s="42"/>
      <c r="Y30"/>
      <c r="Z30"/>
      <c r="AA30"/>
      <c r="AB30"/>
    </row>
    <row r="31" spans="1:28" s="13" customFormat="1" ht="16" thickBot="1" x14ac:dyDescent="0.25">
      <c r="C31" s="12" t="s">
        <v>8</v>
      </c>
      <c r="D31" s="32">
        <f>$F$1*D30</f>
        <v>1.1875</v>
      </c>
      <c r="E31" s="31">
        <f t="shared" ref="E31:W31" si="15">$F$1*E30</f>
        <v>1.5</v>
      </c>
      <c r="F31" s="31">
        <f t="shared" si="15"/>
        <v>1.9166666666666665</v>
      </c>
      <c r="G31" s="31">
        <f t="shared" si="15"/>
        <v>2.4803921568627452</v>
      </c>
      <c r="H31" s="31">
        <f t="shared" si="15"/>
        <v>3.2555147058823528</v>
      </c>
      <c r="I31" s="31">
        <f t="shared" si="15"/>
        <v>4.3406862745098032</v>
      </c>
      <c r="J31" s="31">
        <f t="shared" si="15"/>
        <v>5.8909313725490211</v>
      </c>
      <c r="K31" s="31">
        <f t="shared" si="15"/>
        <v>8.1566742081447945</v>
      </c>
      <c r="L31" s="31">
        <f t="shared" si="15"/>
        <v>11.555288461538462</v>
      </c>
      <c r="M31" s="31">
        <f t="shared" si="15"/>
        <v>16.807692307692303</v>
      </c>
      <c r="N31" s="31">
        <f t="shared" si="15"/>
        <v>25.21153846153846</v>
      </c>
      <c r="O31" s="31">
        <f t="shared" si="15"/>
        <v>39.217948717948715</v>
      </c>
      <c r="P31" s="31">
        <f t="shared" si="15"/>
        <v>63.729166666666671</v>
      </c>
      <c r="Q31" s="31">
        <f t="shared" si="15"/>
        <v>109.25</v>
      </c>
      <c r="R31" s="31">
        <f t="shared" si="15"/>
        <v>200.29166666666663</v>
      </c>
      <c r="S31" s="31">
        <f t="shared" si="15"/>
        <v>400.58333333333326</v>
      </c>
      <c r="T31" s="31">
        <f t="shared" si="15"/>
        <v>901.31250000000011</v>
      </c>
      <c r="U31" s="31">
        <f t="shared" si="15"/>
        <v>2403.5000000000009</v>
      </c>
      <c r="V31" s="31">
        <f t="shared" si="15"/>
        <v>8412.2499999999982</v>
      </c>
      <c r="W31" s="31">
        <f t="shared" si="15"/>
        <v>50473.499999999993</v>
      </c>
      <c r="X31" s="43"/>
      <c r="Y31"/>
      <c r="Z31"/>
      <c r="AA31"/>
      <c r="AB31"/>
    </row>
    <row r="32" spans="1:28" ht="16" thickBot="1" x14ac:dyDescent="0.25"/>
    <row r="33" spans="1:28" s="13" customFormat="1" ht="16" thickBot="1" x14ac:dyDescent="0.25">
      <c r="A33" s="3" t="s">
        <v>19</v>
      </c>
      <c r="B33" s="14" t="s">
        <v>2</v>
      </c>
      <c r="C33" s="9" t="s">
        <v>3</v>
      </c>
      <c r="D33" s="55" t="s">
        <v>5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/>
      <c r="Y33"/>
      <c r="Z33"/>
      <c r="AA33"/>
      <c r="AB33"/>
    </row>
    <row r="34" spans="1:28" s="13" customFormat="1" ht="16" thickBot="1" x14ac:dyDescent="0.25">
      <c r="A34" s="7"/>
      <c r="B34" s="9">
        <v>6</v>
      </c>
      <c r="C34" s="6">
        <f>$C$1-B34</f>
        <v>19</v>
      </c>
      <c r="D34" s="14">
        <v>1</v>
      </c>
      <c r="E34" s="15">
        <f>D34+1</f>
        <v>2</v>
      </c>
      <c r="F34" s="15">
        <f t="shared" ref="F34:W34" si="16">E34+1</f>
        <v>3</v>
      </c>
      <c r="G34" s="15">
        <f t="shared" si="16"/>
        <v>4</v>
      </c>
      <c r="H34" s="15">
        <f t="shared" si="16"/>
        <v>5</v>
      </c>
      <c r="I34" s="15">
        <f t="shared" si="16"/>
        <v>6</v>
      </c>
      <c r="J34" s="15">
        <f t="shared" si="16"/>
        <v>7</v>
      </c>
      <c r="K34" s="15">
        <f t="shared" si="16"/>
        <v>8</v>
      </c>
      <c r="L34" s="15">
        <f t="shared" si="16"/>
        <v>9</v>
      </c>
      <c r="M34" s="15">
        <f t="shared" si="16"/>
        <v>10</v>
      </c>
      <c r="N34" s="15">
        <f t="shared" si="16"/>
        <v>11</v>
      </c>
      <c r="O34" s="15">
        <f t="shared" si="16"/>
        <v>12</v>
      </c>
      <c r="P34" s="15">
        <f t="shared" si="16"/>
        <v>13</v>
      </c>
      <c r="Q34" s="15">
        <f t="shared" si="16"/>
        <v>14</v>
      </c>
      <c r="R34" s="15">
        <f t="shared" si="16"/>
        <v>15</v>
      </c>
      <c r="S34" s="15">
        <f t="shared" si="16"/>
        <v>16</v>
      </c>
      <c r="T34" s="15">
        <f t="shared" si="16"/>
        <v>17</v>
      </c>
      <c r="U34" s="15">
        <f t="shared" si="16"/>
        <v>18</v>
      </c>
      <c r="V34" s="15">
        <f t="shared" si="16"/>
        <v>19</v>
      </c>
      <c r="W34" s="16">
        <f t="shared" si="16"/>
        <v>20</v>
      </c>
      <c r="X34"/>
      <c r="Y34"/>
      <c r="Z34"/>
      <c r="AA34"/>
      <c r="AB34"/>
    </row>
    <row r="35" spans="1:28" s="13" customFormat="1" x14ac:dyDescent="0.2">
      <c r="C35" s="10" t="s">
        <v>1</v>
      </c>
      <c r="D35" s="3">
        <f>COMBIN($C$34,D34)/COMBIN($C$1,D34)</f>
        <v>0.76</v>
      </c>
      <c r="E35" s="17">
        <f>COMBIN($C$34,E34)/COMBIN($C$1,E34)</f>
        <v>0.56999999999999995</v>
      </c>
      <c r="F35" s="17">
        <f>COMBIN($C$34,F34)/COMBIN($C$1,F34)</f>
        <v>0.42130434782608694</v>
      </c>
      <c r="G35" s="17">
        <f>COMBIN($C$34,G34)/COMBIN($C$1,G34)</f>
        <v>0.30640316205533591</v>
      </c>
      <c r="H35" s="17">
        <f>COMBIN($C$34,H34)/COMBIN($C$1,H34)</f>
        <v>0.21885940146809715</v>
      </c>
      <c r="I35" s="17">
        <f>COMBIN($C$34,I34)/COMBIN($C$1,I34)</f>
        <v>0.15320158102766801</v>
      </c>
      <c r="J35" s="17">
        <f>COMBIN($C$34,J34)/COMBIN($C$1,J34)</f>
        <v>0.10482213438735177</v>
      </c>
      <c r="K35" s="17">
        <f>COMBIN($C$34,K34)/COMBIN($C$1,K34)</f>
        <v>6.9881422924901168E-2</v>
      </c>
      <c r="L35" s="17">
        <f>COMBIN($C$34,L34)/COMBIN($C$1,L34)</f>
        <v>4.5217391304347827E-2</v>
      </c>
      <c r="M35" s="17">
        <f>COMBIN($C$34,M34)/COMBIN($C$1,M34)</f>
        <v>2.8260869565217395E-2</v>
      </c>
      <c r="N35" s="17">
        <f>COMBIN($C$34,N34)/COMBIN($C$1,N34)</f>
        <v>1.6956521739130433E-2</v>
      </c>
      <c r="O35" s="17">
        <f>COMBIN($C$34,O34)/COMBIN($C$1,O34)</f>
        <v>9.6894409937888192E-3</v>
      </c>
      <c r="P35" s="17">
        <f>COMBIN($C$34,P34)/COMBIN($C$1,P34)</f>
        <v>5.2173913043478248E-3</v>
      </c>
      <c r="Q35" s="17">
        <f>COMBIN($C$34,Q34)/COMBIN($C$1,Q34)</f>
        <v>2.6086956521739132E-3</v>
      </c>
      <c r="R35" s="17">
        <f>COMBIN($C$34,R34)/COMBIN($C$1,R34)</f>
        <v>1.1857707509881424E-3</v>
      </c>
      <c r="S35" s="17">
        <f>COMBIN($C$34,S34)/COMBIN($C$1,S34)</f>
        <v>4.743083003952569E-4</v>
      </c>
      <c r="T35" s="17">
        <f>COMBIN($C$34,T34)/COMBIN($C$1,T34)</f>
        <v>1.5810276679841898E-4</v>
      </c>
      <c r="U35" s="17">
        <f>COMBIN($C$34,U34)/COMBIN($C$1,U34)</f>
        <v>3.952569169960473E-5</v>
      </c>
      <c r="V35" s="17">
        <f>COMBIN($C$34,V34)/COMBIN($C$1,V34)</f>
        <v>5.6465273856578217E-6</v>
      </c>
      <c r="W35" s="4"/>
      <c r="X35"/>
      <c r="Y35"/>
      <c r="Z35"/>
      <c r="AA35"/>
      <c r="AB35"/>
    </row>
    <row r="36" spans="1:28" s="13" customFormat="1" x14ac:dyDescent="0.2">
      <c r="C36" s="11" t="s">
        <v>6</v>
      </c>
      <c r="D36" s="5">
        <f>1/D35</f>
        <v>1.3157894736842106</v>
      </c>
      <c r="E36" s="13">
        <f t="shared" ref="E36:V36" si="17">1/E35</f>
        <v>1.7543859649122808</v>
      </c>
      <c r="F36" s="13">
        <f t="shared" si="17"/>
        <v>2.3735810113519094</v>
      </c>
      <c r="G36" s="13">
        <f t="shared" si="17"/>
        <v>3.2636738906088758</v>
      </c>
      <c r="H36" s="13">
        <f t="shared" si="17"/>
        <v>4.5691434468524248</v>
      </c>
      <c r="I36" s="13">
        <f t="shared" si="17"/>
        <v>6.5273477812177489</v>
      </c>
      <c r="J36" s="13">
        <f t="shared" si="17"/>
        <v>9.539969834087481</v>
      </c>
      <c r="K36" s="13">
        <f t="shared" si="17"/>
        <v>14.309954751131226</v>
      </c>
      <c r="L36" s="13">
        <f t="shared" si="17"/>
        <v>22.115384615384613</v>
      </c>
      <c r="M36" s="13">
        <f t="shared" si="17"/>
        <v>35.38461538461538</v>
      </c>
      <c r="N36" s="13">
        <f t="shared" si="17"/>
        <v>58.974358974358985</v>
      </c>
      <c r="O36" s="13">
        <f t="shared" si="17"/>
        <v>103.20512820512822</v>
      </c>
      <c r="P36" s="13">
        <f t="shared" si="17"/>
        <v>191.66666666666671</v>
      </c>
      <c r="Q36" s="13">
        <f t="shared" si="17"/>
        <v>383.33333333333331</v>
      </c>
      <c r="R36" s="13">
        <f t="shared" si="17"/>
        <v>843.33333333333326</v>
      </c>
      <c r="S36" s="13">
        <f t="shared" si="17"/>
        <v>2108.3333333333335</v>
      </c>
      <c r="T36" s="13">
        <f t="shared" si="17"/>
        <v>6325</v>
      </c>
      <c r="U36" s="13">
        <f t="shared" si="17"/>
        <v>25300.000000000007</v>
      </c>
      <c r="V36" s="13">
        <f t="shared" si="17"/>
        <v>177099.99999999997</v>
      </c>
      <c r="W36" s="6"/>
      <c r="X36"/>
      <c r="Y36"/>
      <c r="Z36"/>
      <c r="AA36"/>
      <c r="AB36"/>
    </row>
    <row r="37" spans="1:28" s="13" customFormat="1" ht="16" thickBot="1" x14ac:dyDescent="0.25">
      <c r="C37" s="12" t="s">
        <v>8</v>
      </c>
      <c r="D37" s="7">
        <f>$F$1*D36</f>
        <v>1.25</v>
      </c>
      <c r="E37" s="18">
        <f t="shared" ref="E37:V37" si="18">$F$1*E36</f>
        <v>1.6666666666666667</v>
      </c>
      <c r="F37" s="18">
        <f t="shared" si="18"/>
        <v>2.2549019607843137</v>
      </c>
      <c r="G37" s="18">
        <f t="shared" si="18"/>
        <v>3.1004901960784319</v>
      </c>
      <c r="H37" s="18">
        <f t="shared" si="18"/>
        <v>4.3406862745098032</v>
      </c>
      <c r="I37" s="18">
        <f t="shared" si="18"/>
        <v>6.2009803921568611</v>
      </c>
      <c r="J37" s="18">
        <f t="shared" si="18"/>
        <v>9.062971342383106</v>
      </c>
      <c r="K37" s="18">
        <f t="shared" si="18"/>
        <v>13.594457013574663</v>
      </c>
      <c r="L37" s="18">
        <f t="shared" si="18"/>
        <v>21.009615384615383</v>
      </c>
      <c r="M37" s="18">
        <f t="shared" si="18"/>
        <v>33.615384615384606</v>
      </c>
      <c r="N37" s="18">
        <f t="shared" si="18"/>
        <v>56.025641025641036</v>
      </c>
      <c r="O37" s="18">
        <f t="shared" si="18"/>
        <v>98.04487179487181</v>
      </c>
      <c r="P37" s="18">
        <f t="shared" si="18"/>
        <v>182.08333333333337</v>
      </c>
      <c r="Q37" s="18">
        <f t="shared" si="18"/>
        <v>364.16666666666663</v>
      </c>
      <c r="R37" s="18">
        <f t="shared" si="18"/>
        <v>801.16666666666652</v>
      </c>
      <c r="S37" s="18">
        <f t="shared" si="18"/>
        <v>2002.9166666666667</v>
      </c>
      <c r="T37" s="18">
        <f t="shared" si="18"/>
        <v>6008.75</v>
      </c>
      <c r="U37" s="18">
        <f t="shared" si="18"/>
        <v>24035.000000000007</v>
      </c>
      <c r="V37" s="18">
        <f t="shared" si="18"/>
        <v>168244.99999999997</v>
      </c>
      <c r="W37" s="8"/>
      <c r="X37"/>
      <c r="Y37"/>
      <c r="Z37"/>
      <c r="AA37"/>
      <c r="AB37"/>
    </row>
    <row r="38" spans="1:28" ht="16" thickBot="1" x14ac:dyDescent="0.25"/>
    <row r="39" spans="1:28" s="13" customFormat="1" ht="16" thickBot="1" x14ac:dyDescent="0.25">
      <c r="A39" s="3" t="s">
        <v>20</v>
      </c>
      <c r="B39" s="14" t="s">
        <v>2</v>
      </c>
      <c r="C39" s="9" t="s">
        <v>3</v>
      </c>
      <c r="D39" s="55" t="s">
        <v>5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7"/>
      <c r="W39"/>
      <c r="X39"/>
      <c r="Y39"/>
      <c r="Z39"/>
      <c r="AA39"/>
      <c r="AB39"/>
    </row>
    <row r="40" spans="1:28" s="13" customFormat="1" ht="16" thickBot="1" x14ac:dyDescent="0.25">
      <c r="A40" s="7"/>
      <c r="B40" s="9">
        <v>7</v>
      </c>
      <c r="C40" s="6">
        <f>$C$1-B40</f>
        <v>18</v>
      </c>
      <c r="D40" s="14">
        <v>1</v>
      </c>
      <c r="E40" s="15">
        <f>D40+1</f>
        <v>2</v>
      </c>
      <c r="F40" s="15">
        <f t="shared" ref="F40:V40" si="19">E40+1</f>
        <v>3</v>
      </c>
      <c r="G40" s="15">
        <f t="shared" si="19"/>
        <v>4</v>
      </c>
      <c r="H40" s="15">
        <f t="shared" si="19"/>
        <v>5</v>
      </c>
      <c r="I40" s="15">
        <f t="shared" si="19"/>
        <v>6</v>
      </c>
      <c r="J40" s="15">
        <f t="shared" si="19"/>
        <v>7</v>
      </c>
      <c r="K40" s="15">
        <f t="shared" si="19"/>
        <v>8</v>
      </c>
      <c r="L40" s="15">
        <f t="shared" si="19"/>
        <v>9</v>
      </c>
      <c r="M40" s="15">
        <f t="shared" si="19"/>
        <v>10</v>
      </c>
      <c r="N40" s="15">
        <f t="shared" si="19"/>
        <v>11</v>
      </c>
      <c r="O40" s="15">
        <f t="shared" si="19"/>
        <v>12</v>
      </c>
      <c r="P40" s="15">
        <f t="shared" si="19"/>
        <v>13</v>
      </c>
      <c r="Q40" s="15">
        <f t="shared" si="19"/>
        <v>14</v>
      </c>
      <c r="R40" s="15">
        <f t="shared" si="19"/>
        <v>15</v>
      </c>
      <c r="S40" s="15">
        <f t="shared" si="19"/>
        <v>16</v>
      </c>
      <c r="T40" s="15">
        <f t="shared" si="19"/>
        <v>17</v>
      </c>
      <c r="U40" s="15">
        <f t="shared" si="19"/>
        <v>18</v>
      </c>
      <c r="V40" s="16">
        <f t="shared" si="19"/>
        <v>19</v>
      </c>
      <c r="W40"/>
      <c r="X40"/>
      <c r="Y40"/>
      <c r="Z40"/>
      <c r="AA40"/>
      <c r="AB40"/>
    </row>
    <row r="41" spans="1:28" s="13" customFormat="1" x14ac:dyDescent="0.2">
      <c r="C41" s="10" t="s">
        <v>1</v>
      </c>
      <c r="D41" s="3">
        <f>COMBIN($C$40,D40)/COMBIN($C$1,D40)</f>
        <v>0.72</v>
      </c>
      <c r="E41" s="23">
        <f>COMBIN($C$40,E40)/COMBIN($C$1,E40)</f>
        <v>0.51</v>
      </c>
      <c r="F41" s="23">
        <f>COMBIN($C$40,F40)/COMBIN($C$1,F40)</f>
        <v>0.35478260869565215</v>
      </c>
      <c r="G41" s="23">
        <f>COMBIN($C$40,G40)/COMBIN($C$1,G40)</f>
        <v>0.24189723320158099</v>
      </c>
      <c r="H41" s="23">
        <f>COMBIN($C$40,H40)/COMBIN($C$1,H40)</f>
        <v>0.16126482213438736</v>
      </c>
      <c r="I41" s="23">
        <f>COMBIN($C$40,I40)/COMBIN($C$1,I40)</f>
        <v>0.10482213438735181</v>
      </c>
      <c r="J41" s="23">
        <f>COMBIN($C$40,J40)/COMBIN($C$1,J40)</f>
        <v>6.6203453297274784E-2</v>
      </c>
      <c r="K41" s="23">
        <f>COMBIN($C$40,K40)/COMBIN($C$1,K40)</f>
        <v>4.0457665903890161E-2</v>
      </c>
      <c r="L41" s="23">
        <f>COMBIN($C$40,L40)/COMBIN($C$1,L40)</f>
        <v>2.3798627002288325E-2</v>
      </c>
      <c r="M41" s="23">
        <f>COMBIN($C$40,M40)/COMBIN($C$1,M40)</f>
        <v>1.3386727688787188E-2</v>
      </c>
      <c r="N41" s="23">
        <f>COMBIN($C$40,N40)/COMBIN($C$1,N40)</f>
        <v>7.1395881006864979E-3</v>
      </c>
      <c r="O41" s="23">
        <f>COMBIN($C$40,O40)/COMBIN($C$1,O40)</f>
        <v>3.5697940503432494E-3</v>
      </c>
      <c r="P41" s="23">
        <f>COMBIN($C$40,P40)/COMBIN($C$1,P40)</f>
        <v>1.6475972540045763E-3</v>
      </c>
      <c r="Q41" s="23">
        <f>COMBIN($C$40,Q40)/COMBIN($C$1,Q40)</f>
        <v>6.8649885583524025E-4</v>
      </c>
      <c r="R41" s="23">
        <f>COMBIN($C$40,R40)/COMBIN($C$1,R40)</f>
        <v>2.4963594757645107E-4</v>
      </c>
      <c r="S41" s="23">
        <f>COMBIN($C$40,S40)/COMBIN($C$1,S40)</f>
        <v>7.4890784272935301E-5</v>
      </c>
      <c r="T41" s="23">
        <f>COMBIN($C$40,T40)/COMBIN($C$1,T40)</f>
        <v>1.6642396505096735E-5</v>
      </c>
      <c r="U41" s="23">
        <f>COMBIN($C$40,U40)/COMBIN($C$1,U40)</f>
        <v>2.080299563137091E-6</v>
      </c>
      <c r="V41" s="48"/>
      <c r="W41"/>
      <c r="X41"/>
      <c r="Y41"/>
      <c r="Z41"/>
      <c r="AA41"/>
      <c r="AB41"/>
    </row>
    <row r="42" spans="1:28" s="13" customFormat="1" x14ac:dyDescent="0.2">
      <c r="C42" s="11" t="s">
        <v>6</v>
      </c>
      <c r="D42" s="36">
        <f>1/D41</f>
        <v>1.3888888888888888</v>
      </c>
      <c r="E42" s="30">
        <f t="shared" ref="E42:U42" si="20">1/E41</f>
        <v>1.9607843137254901</v>
      </c>
      <c r="F42" s="30">
        <f t="shared" si="20"/>
        <v>2.8186274509803924</v>
      </c>
      <c r="G42" s="30">
        <f t="shared" si="20"/>
        <v>4.1339869281045756</v>
      </c>
      <c r="H42" s="30">
        <f t="shared" si="20"/>
        <v>6.200980392156862</v>
      </c>
      <c r="I42" s="30">
        <f t="shared" si="20"/>
        <v>9.5399698340874775</v>
      </c>
      <c r="J42" s="30">
        <f t="shared" si="20"/>
        <v>15.104952237305184</v>
      </c>
      <c r="K42" s="30">
        <f t="shared" si="20"/>
        <v>24.717194570135746</v>
      </c>
      <c r="L42" s="30">
        <f t="shared" si="20"/>
        <v>42.019230769230774</v>
      </c>
      <c r="M42" s="30">
        <f t="shared" si="20"/>
        <v>74.700854700854691</v>
      </c>
      <c r="N42" s="30">
        <f t="shared" si="20"/>
        <v>140.0641025641026</v>
      </c>
      <c r="O42" s="30">
        <f t="shared" si="20"/>
        <v>280.12820512820514</v>
      </c>
      <c r="P42" s="30">
        <f t="shared" si="20"/>
        <v>606.94444444444457</v>
      </c>
      <c r="Q42" s="30">
        <f t="shared" si="20"/>
        <v>1456.6666666666667</v>
      </c>
      <c r="R42" s="30">
        <f t="shared" si="20"/>
        <v>4005.8333333333326</v>
      </c>
      <c r="S42" s="30">
        <f t="shared" si="20"/>
        <v>13352.777777777777</v>
      </c>
      <c r="T42" s="30">
        <f t="shared" si="20"/>
        <v>60087.499999999993</v>
      </c>
      <c r="U42" s="30">
        <f t="shared" si="20"/>
        <v>480700.00000000017</v>
      </c>
      <c r="V42" s="49"/>
      <c r="W42"/>
      <c r="X42"/>
      <c r="Y42"/>
      <c r="Z42"/>
      <c r="AA42"/>
      <c r="AB42"/>
    </row>
    <row r="43" spans="1:28" s="13" customFormat="1" ht="16" thickBot="1" x14ac:dyDescent="0.25">
      <c r="C43" s="12" t="s">
        <v>8</v>
      </c>
      <c r="D43" s="7">
        <f>$F$1*D42</f>
        <v>1.3194444444444444</v>
      </c>
      <c r="E43" s="31">
        <f t="shared" ref="E43:U43" si="21">$F$1*E42</f>
        <v>1.8627450980392155</v>
      </c>
      <c r="F43" s="31">
        <f t="shared" si="21"/>
        <v>2.6776960784313726</v>
      </c>
      <c r="G43" s="31">
        <f t="shared" si="21"/>
        <v>3.9272875816993467</v>
      </c>
      <c r="H43" s="31">
        <f t="shared" si="21"/>
        <v>5.8909313725490184</v>
      </c>
      <c r="I43" s="31">
        <f t="shared" si="21"/>
        <v>9.0629713423831024</v>
      </c>
      <c r="J43" s="31">
        <f t="shared" si="21"/>
        <v>14.349704625439925</v>
      </c>
      <c r="K43" s="31">
        <f t="shared" si="21"/>
        <v>23.481334841628957</v>
      </c>
      <c r="L43" s="31">
        <f t="shared" si="21"/>
        <v>39.918269230769234</v>
      </c>
      <c r="M43" s="31">
        <f t="shared" si="21"/>
        <v>70.965811965811952</v>
      </c>
      <c r="N43" s="31">
        <f t="shared" si="21"/>
        <v>133.06089743589746</v>
      </c>
      <c r="O43" s="31">
        <f t="shared" si="21"/>
        <v>266.12179487179486</v>
      </c>
      <c r="P43" s="31">
        <f t="shared" si="21"/>
        <v>576.59722222222229</v>
      </c>
      <c r="Q43" s="31">
        <f t="shared" si="21"/>
        <v>1383.8333333333333</v>
      </c>
      <c r="R43" s="31">
        <f t="shared" si="21"/>
        <v>3805.5416666666656</v>
      </c>
      <c r="S43" s="31">
        <f t="shared" si="21"/>
        <v>12685.138888888889</v>
      </c>
      <c r="T43" s="31">
        <f t="shared" si="21"/>
        <v>57083.124999999993</v>
      </c>
      <c r="U43" s="31">
        <f t="shared" si="21"/>
        <v>456665.00000000012</v>
      </c>
      <c r="V43" s="50"/>
      <c r="W43"/>
      <c r="X43"/>
      <c r="Y43"/>
      <c r="Z43"/>
      <c r="AA43"/>
      <c r="AB43"/>
    </row>
    <row r="44" spans="1:28" ht="16" thickBot="1" x14ac:dyDescent="0.25"/>
    <row r="45" spans="1:28" s="13" customFormat="1" ht="16" thickBot="1" x14ac:dyDescent="0.25">
      <c r="A45" s="3" t="s">
        <v>21</v>
      </c>
      <c r="B45" s="14" t="s">
        <v>2</v>
      </c>
      <c r="C45" s="9" t="s">
        <v>3</v>
      </c>
      <c r="D45" s="55" t="s">
        <v>5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7"/>
      <c r="V45"/>
      <c r="W45"/>
      <c r="X45"/>
      <c r="Y45"/>
      <c r="Z45"/>
      <c r="AA45"/>
      <c r="AB45"/>
    </row>
    <row r="46" spans="1:28" s="13" customFormat="1" ht="16" thickBot="1" x14ac:dyDescent="0.25">
      <c r="A46" s="7"/>
      <c r="B46" s="9">
        <v>8</v>
      </c>
      <c r="C46" s="6">
        <f>$C$1-B46</f>
        <v>17</v>
      </c>
      <c r="D46" s="14">
        <v>1</v>
      </c>
      <c r="E46" s="15">
        <f>D46+1</f>
        <v>2</v>
      </c>
      <c r="F46" s="15">
        <f t="shared" ref="F46:U46" si="22">E46+1</f>
        <v>3</v>
      </c>
      <c r="G46" s="15">
        <f t="shared" si="22"/>
        <v>4</v>
      </c>
      <c r="H46" s="15">
        <f t="shared" si="22"/>
        <v>5</v>
      </c>
      <c r="I46" s="15">
        <f t="shared" si="22"/>
        <v>6</v>
      </c>
      <c r="J46" s="15">
        <f t="shared" si="22"/>
        <v>7</v>
      </c>
      <c r="K46" s="15">
        <f t="shared" si="22"/>
        <v>8</v>
      </c>
      <c r="L46" s="15">
        <f t="shared" si="22"/>
        <v>9</v>
      </c>
      <c r="M46" s="15">
        <f t="shared" si="22"/>
        <v>10</v>
      </c>
      <c r="N46" s="15">
        <f t="shared" si="22"/>
        <v>11</v>
      </c>
      <c r="O46" s="15">
        <f t="shared" si="22"/>
        <v>12</v>
      </c>
      <c r="P46" s="15">
        <f t="shared" si="22"/>
        <v>13</v>
      </c>
      <c r="Q46" s="15">
        <f t="shared" si="22"/>
        <v>14</v>
      </c>
      <c r="R46" s="15">
        <f t="shared" si="22"/>
        <v>15</v>
      </c>
      <c r="S46" s="15">
        <f t="shared" si="22"/>
        <v>16</v>
      </c>
      <c r="T46" s="15">
        <f t="shared" si="22"/>
        <v>17</v>
      </c>
      <c r="U46" s="16">
        <f t="shared" si="22"/>
        <v>18</v>
      </c>
      <c r="V46"/>
      <c r="W46"/>
      <c r="X46"/>
      <c r="Y46"/>
      <c r="Z46"/>
      <c r="AA46"/>
      <c r="AB46"/>
    </row>
    <row r="47" spans="1:28" s="13" customFormat="1" x14ac:dyDescent="0.2">
      <c r="C47" s="10" t="s">
        <v>1</v>
      </c>
      <c r="D47" s="5">
        <f>COMBIN($C$46,D46)/COMBIN($C$1,D46)</f>
        <v>0.68</v>
      </c>
      <c r="E47" s="13">
        <f>COMBIN($C$46,E46)/COMBIN($C$1,E46)</f>
        <v>0.45333333333333331</v>
      </c>
      <c r="F47" s="13">
        <f>COMBIN($C$46,F46)/COMBIN($C$1,F46)</f>
        <v>0.29565217391304349</v>
      </c>
      <c r="G47" s="13">
        <f>COMBIN($C$46,G46)/COMBIN($C$1,G46)</f>
        <v>0.18814229249011855</v>
      </c>
      <c r="H47" s="13">
        <f>COMBIN($C$46,H46)/COMBIN($C$1,H46)</f>
        <v>0.11646903820816867</v>
      </c>
      <c r="I47" s="13">
        <f>COMBIN($C$46,I46)/COMBIN($C$1,I46)</f>
        <v>6.9881422924901196E-2</v>
      </c>
      <c r="J47" s="13">
        <f>COMBIN($C$46,J46)/COMBIN($C$1,J46)</f>
        <v>4.0457665903890147E-2</v>
      </c>
      <c r="K47" s="13">
        <f>COMBIN($C$46,K46)/COMBIN($C$1,K46)</f>
        <v>2.2476481057716755E-2</v>
      </c>
      <c r="L47" s="13">
        <f>COMBIN($C$46,L46)/COMBIN($C$1,L46)</f>
        <v>1.1899313501144164E-2</v>
      </c>
      <c r="M47" s="13">
        <f>COMBIN($C$46,M46)/COMBIN($C$1,M46)</f>
        <v>5.949656750572083E-3</v>
      </c>
      <c r="N47" s="13">
        <f>COMBIN($C$46,N46)/COMBIN($C$1,N46)</f>
        <v>2.776506483600305E-3</v>
      </c>
      <c r="O47" s="13">
        <f>COMBIN($C$46,O46)/COMBIN($C$1,O46)</f>
        <v>1.1899313501144164E-3</v>
      </c>
      <c r="P47" s="13">
        <f>COMBIN($C$46,P46)/COMBIN($C$1,P46)</f>
        <v>4.576659038901601E-4</v>
      </c>
      <c r="Q47" s="13">
        <f>COMBIN($C$46,Q46)/COMBIN($C$1,Q46)</f>
        <v>1.5255530129672007E-4</v>
      </c>
      <c r="R47" s="13">
        <f>COMBIN($C$46,R46)/COMBIN($C$1,R46)</f>
        <v>4.1605991262741838E-5</v>
      </c>
      <c r="S47" s="13">
        <f>COMBIN($C$46,S46)/COMBIN($C$1,S46)</f>
        <v>8.3211982525483675E-6</v>
      </c>
      <c r="T47" s="13">
        <f>COMBIN($C$46,T46)/COMBIN($C$1,T46)</f>
        <v>9.245775836164852E-7</v>
      </c>
      <c r="U47" s="6"/>
      <c r="V47"/>
      <c r="W47"/>
      <c r="X47"/>
      <c r="Y47"/>
      <c r="Z47"/>
      <c r="AA47"/>
      <c r="AB47"/>
    </row>
    <row r="48" spans="1:28" s="13" customFormat="1" x14ac:dyDescent="0.2">
      <c r="C48" s="11" t="s">
        <v>6</v>
      </c>
      <c r="D48" s="5">
        <f>1/D47</f>
        <v>1.4705882352941175</v>
      </c>
      <c r="E48" s="13">
        <f t="shared" ref="E48:T48" si="23">1/E47</f>
        <v>2.2058823529411766</v>
      </c>
      <c r="F48" s="13">
        <f t="shared" si="23"/>
        <v>3.3823529411764706</v>
      </c>
      <c r="G48" s="13">
        <f t="shared" si="23"/>
        <v>5.3151260504201687</v>
      </c>
      <c r="H48" s="13">
        <f t="shared" si="23"/>
        <v>8.5859728506787309</v>
      </c>
      <c r="I48" s="13">
        <f t="shared" si="23"/>
        <v>14.309954751131219</v>
      </c>
      <c r="J48" s="13">
        <f t="shared" si="23"/>
        <v>24.717194570135753</v>
      </c>
      <c r="K48" s="13">
        <f t="shared" si="23"/>
        <v>44.490950226244344</v>
      </c>
      <c r="L48" s="13">
        <f t="shared" si="23"/>
        <v>84.038461538461547</v>
      </c>
      <c r="M48" s="13">
        <f t="shared" si="23"/>
        <v>168.07692307692307</v>
      </c>
      <c r="N48" s="13">
        <f t="shared" si="23"/>
        <v>360.16483516483521</v>
      </c>
      <c r="O48" s="13">
        <f t="shared" si="23"/>
        <v>840.38461538461547</v>
      </c>
      <c r="P48" s="13">
        <f t="shared" si="23"/>
        <v>2185.0000000000005</v>
      </c>
      <c r="Q48" s="13">
        <f t="shared" si="23"/>
        <v>6555</v>
      </c>
      <c r="R48" s="13">
        <f t="shared" si="23"/>
        <v>24035</v>
      </c>
      <c r="S48" s="13">
        <f t="shared" si="23"/>
        <v>120174.99999999999</v>
      </c>
      <c r="T48" s="13">
        <f t="shared" si="23"/>
        <v>1081575</v>
      </c>
      <c r="U48" s="6"/>
      <c r="V48"/>
      <c r="W48"/>
      <c r="X48"/>
      <c r="Y48"/>
      <c r="Z48"/>
      <c r="AA48"/>
      <c r="AB48"/>
    </row>
    <row r="49" spans="1:28" s="13" customFormat="1" ht="16" thickBot="1" x14ac:dyDescent="0.25">
      <c r="C49" s="12" t="s">
        <v>8</v>
      </c>
      <c r="D49" s="32">
        <f>$F$1*D48</f>
        <v>1.3970588235294117</v>
      </c>
      <c r="E49" s="31">
        <f t="shared" ref="E49:T49" si="24">$F$1*E48</f>
        <v>2.0955882352941178</v>
      </c>
      <c r="F49" s="31">
        <f t="shared" si="24"/>
        <v>3.2132352941176467</v>
      </c>
      <c r="G49" s="31">
        <f t="shared" si="24"/>
        <v>5.0493697478991599</v>
      </c>
      <c r="H49" s="31">
        <f t="shared" si="24"/>
        <v>8.1566742081447945</v>
      </c>
      <c r="I49" s="31">
        <f t="shared" si="24"/>
        <v>13.594457013574658</v>
      </c>
      <c r="J49" s="31">
        <f t="shared" si="24"/>
        <v>23.481334841628964</v>
      </c>
      <c r="K49" s="31">
        <f t="shared" si="24"/>
        <v>42.266402714932127</v>
      </c>
      <c r="L49" s="31">
        <f t="shared" si="24"/>
        <v>79.836538461538467</v>
      </c>
      <c r="M49" s="31">
        <f t="shared" si="24"/>
        <v>159.67307692307691</v>
      </c>
      <c r="N49" s="31">
        <f t="shared" si="24"/>
        <v>342.15659340659346</v>
      </c>
      <c r="O49" s="31">
        <f t="shared" si="24"/>
        <v>798.36538461538464</v>
      </c>
      <c r="P49" s="31">
        <f t="shared" si="24"/>
        <v>2075.7500000000005</v>
      </c>
      <c r="Q49" s="31">
        <f t="shared" si="24"/>
        <v>6227.25</v>
      </c>
      <c r="R49" s="31">
        <f t="shared" si="24"/>
        <v>22833.25</v>
      </c>
      <c r="S49" s="31">
        <f t="shared" si="24"/>
        <v>114166.24999999999</v>
      </c>
      <c r="T49" s="31">
        <f t="shared" si="24"/>
        <v>1027496.25</v>
      </c>
      <c r="U49" s="8"/>
      <c r="V49"/>
      <c r="W49"/>
      <c r="X49"/>
      <c r="Y49"/>
      <c r="Z49"/>
      <c r="AA49"/>
      <c r="AB49"/>
    </row>
    <row r="50" spans="1:28" ht="16" thickBot="1" x14ac:dyDescent="0.25"/>
    <row r="51" spans="1:28" s="13" customFormat="1" ht="16" thickBot="1" x14ac:dyDescent="0.25">
      <c r="A51" s="3" t="s">
        <v>22</v>
      </c>
      <c r="B51" s="14" t="s">
        <v>2</v>
      </c>
      <c r="C51" s="9" t="s">
        <v>3</v>
      </c>
      <c r="D51" s="55" t="s">
        <v>5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7"/>
      <c r="U51"/>
      <c r="V51"/>
      <c r="W51"/>
      <c r="X51"/>
      <c r="Y51"/>
      <c r="Z51"/>
      <c r="AA51"/>
      <c r="AB51"/>
    </row>
    <row r="52" spans="1:28" s="13" customFormat="1" ht="16" thickBot="1" x14ac:dyDescent="0.25">
      <c r="A52" s="7"/>
      <c r="B52" s="9">
        <v>9</v>
      </c>
      <c r="C52" s="6">
        <f>$C$1-B52</f>
        <v>16</v>
      </c>
      <c r="D52" s="14">
        <v>1</v>
      </c>
      <c r="E52" s="15">
        <f>D52+1</f>
        <v>2</v>
      </c>
      <c r="F52" s="15">
        <f t="shared" ref="F52:T52" si="25">E52+1</f>
        <v>3</v>
      </c>
      <c r="G52" s="15">
        <f t="shared" si="25"/>
        <v>4</v>
      </c>
      <c r="H52" s="15">
        <f t="shared" si="25"/>
        <v>5</v>
      </c>
      <c r="I52" s="15">
        <f t="shared" si="25"/>
        <v>6</v>
      </c>
      <c r="J52" s="15">
        <f t="shared" si="25"/>
        <v>7</v>
      </c>
      <c r="K52" s="15">
        <f t="shared" si="25"/>
        <v>8</v>
      </c>
      <c r="L52" s="15">
        <f t="shared" si="25"/>
        <v>9</v>
      </c>
      <c r="M52" s="15">
        <f t="shared" si="25"/>
        <v>10</v>
      </c>
      <c r="N52" s="15">
        <f t="shared" si="25"/>
        <v>11</v>
      </c>
      <c r="O52" s="15">
        <f t="shared" si="25"/>
        <v>12</v>
      </c>
      <c r="P52" s="15">
        <f t="shared" si="25"/>
        <v>13</v>
      </c>
      <c r="Q52" s="15">
        <f t="shared" si="25"/>
        <v>14</v>
      </c>
      <c r="R52" s="15">
        <f t="shared" si="25"/>
        <v>15</v>
      </c>
      <c r="S52" s="15">
        <f t="shared" si="25"/>
        <v>16</v>
      </c>
      <c r="T52" s="16">
        <f t="shared" si="25"/>
        <v>17</v>
      </c>
      <c r="U52"/>
      <c r="V52"/>
      <c r="W52"/>
      <c r="X52"/>
      <c r="Y52"/>
      <c r="Z52"/>
      <c r="AA52"/>
      <c r="AB52"/>
    </row>
    <row r="53" spans="1:28" s="13" customFormat="1" x14ac:dyDescent="0.2">
      <c r="C53" s="10" t="s">
        <v>1</v>
      </c>
      <c r="D53" s="5">
        <f>COMBIN($C$52,D52)/COMBIN($C$1,D52)</f>
        <v>0.64</v>
      </c>
      <c r="E53" s="17">
        <f>COMBIN($C$52,E52)/COMBIN($C$1,E52)</f>
        <v>0.4</v>
      </c>
      <c r="F53" s="17">
        <f>COMBIN($C$52,F52)/COMBIN($C$1,F52)</f>
        <v>0.24347826086956523</v>
      </c>
      <c r="G53" s="17">
        <f>COMBIN($C$52,G52)/COMBIN($C$1,G52)</f>
        <v>0.14387351778656127</v>
      </c>
      <c r="H53" s="17">
        <f>COMBIN($C$52,H52)/COMBIN($C$1,H52)</f>
        <v>8.2213438735177877E-2</v>
      </c>
      <c r="I53" s="17">
        <f>COMBIN($C$52,I52)/COMBIN($C$1,I52)</f>
        <v>4.5217391304347834E-2</v>
      </c>
      <c r="J53" s="17">
        <f>COMBIN($C$52,J52)/COMBIN($C$1,J52)</f>
        <v>2.3798627002288325E-2</v>
      </c>
      <c r="K53" s="17">
        <f>COMBIN($C$52,K52)/COMBIN($C$1,K52)</f>
        <v>1.1899313501144163E-2</v>
      </c>
      <c r="L53" s="17">
        <f>COMBIN($C$52,L52)/COMBIN($C$1,L52)</f>
        <v>5.599676941714901E-3</v>
      </c>
      <c r="M53" s="17">
        <f>COMBIN($C$52,M52)/COMBIN($C$1,M52)</f>
        <v>2.4498586620002698E-3</v>
      </c>
      <c r="N53" s="17">
        <f>COMBIN($C$52,N52)/COMBIN($C$1,N52)</f>
        <v>9.7994346480010774E-4</v>
      </c>
      <c r="O53" s="17">
        <f>COMBIN($C$52,O52)/COMBIN($C$1,O52)</f>
        <v>3.4997980885718131E-4</v>
      </c>
      <c r="P53" s="17">
        <f>COMBIN($C$52,P52)/COMBIN($C$1,P52)</f>
        <v>1.0768609503297885E-4</v>
      </c>
      <c r="Q53" s="17">
        <f>COMBIN($C$52,Q52)/COMBIN($C$1,Q52)</f>
        <v>2.6921523758244717E-5</v>
      </c>
      <c r="R53" s="17">
        <f>COMBIN($C$52,R52)/COMBIN($C$1,R52)</f>
        <v>4.89482250149904E-6</v>
      </c>
      <c r="S53" s="17">
        <f>COMBIN($C$52,S52)/COMBIN($C$1,S52)</f>
        <v>4.8948225014990389E-7</v>
      </c>
      <c r="T53" s="4"/>
      <c r="U53"/>
      <c r="V53"/>
      <c r="W53"/>
      <c r="X53"/>
      <c r="Y53"/>
      <c r="Z53"/>
      <c r="AA53"/>
      <c r="AB53"/>
    </row>
    <row r="54" spans="1:28" s="13" customFormat="1" x14ac:dyDescent="0.2">
      <c r="C54" s="11" t="s">
        <v>6</v>
      </c>
      <c r="D54" s="5">
        <f>1/D53</f>
        <v>1.5625</v>
      </c>
      <c r="E54" s="13">
        <f t="shared" ref="E54:S54" si="26">1/E53</f>
        <v>2.5</v>
      </c>
      <c r="F54" s="13">
        <f t="shared" si="26"/>
        <v>4.1071428571428568</v>
      </c>
      <c r="G54" s="13">
        <f t="shared" si="26"/>
        <v>6.9505494505494507</v>
      </c>
      <c r="H54" s="13">
        <f t="shared" si="26"/>
        <v>12.163461538461537</v>
      </c>
      <c r="I54" s="13">
        <f t="shared" si="26"/>
        <v>22.11538461538461</v>
      </c>
      <c r="J54" s="13">
        <f t="shared" si="26"/>
        <v>42.019230769230774</v>
      </c>
      <c r="K54" s="13">
        <f t="shared" si="26"/>
        <v>84.038461538461547</v>
      </c>
      <c r="L54" s="13">
        <f t="shared" si="26"/>
        <v>178.58173076923077</v>
      </c>
      <c r="M54" s="13">
        <f t="shared" si="26"/>
        <v>408.18681318681308</v>
      </c>
      <c r="N54" s="13">
        <f t="shared" si="26"/>
        <v>1020.4670329670329</v>
      </c>
      <c r="O54" s="13">
        <f t="shared" si="26"/>
        <v>2857.3076923076924</v>
      </c>
      <c r="P54" s="13">
        <f t="shared" si="26"/>
        <v>9286.2500000000018</v>
      </c>
      <c r="Q54" s="13">
        <f t="shared" si="26"/>
        <v>37145</v>
      </c>
      <c r="R54" s="13">
        <f t="shared" si="26"/>
        <v>204297.49999999997</v>
      </c>
      <c r="S54" s="13">
        <f t="shared" si="26"/>
        <v>2042975.0000000002</v>
      </c>
      <c r="T54" s="6"/>
      <c r="U54"/>
      <c r="V54"/>
      <c r="W54"/>
      <c r="X54"/>
      <c r="Y54"/>
      <c r="Z54"/>
      <c r="AA54"/>
      <c r="AB54"/>
    </row>
    <row r="55" spans="1:28" s="13" customFormat="1" ht="16" thickBot="1" x14ac:dyDescent="0.25">
      <c r="C55" s="12" t="s">
        <v>8</v>
      </c>
      <c r="D55" s="7">
        <f>$F$1*D54</f>
        <v>1.484375</v>
      </c>
      <c r="E55" s="18">
        <f t="shared" ref="E55:S55" si="27">$F$1*E54</f>
        <v>2.375</v>
      </c>
      <c r="F55" s="28">
        <f t="shared" si="27"/>
        <v>3.9017857142857135</v>
      </c>
      <c r="G55" s="28">
        <f t="shared" si="27"/>
        <v>6.6030219780219781</v>
      </c>
      <c r="H55" s="28">
        <f t="shared" si="27"/>
        <v>11.55528846153846</v>
      </c>
      <c r="I55" s="28">
        <f t="shared" si="27"/>
        <v>21.00961538461538</v>
      </c>
      <c r="J55" s="28">
        <f t="shared" si="27"/>
        <v>39.918269230769234</v>
      </c>
      <c r="K55" s="28">
        <f t="shared" si="27"/>
        <v>79.836538461538467</v>
      </c>
      <c r="L55" s="28">
        <f t="shared" si="27"/>
        <v>169.65264423076923</v>
      </c>
      <c r="M55" s="28">
        <f t="shared" si="27"/>
        <v>387.77747252747241</v>
      </c>
      <c r="N55" s="28">
        <f t="shared" si="27"/>
        <v>969.44368131868123</v>
      </c>
      <c r="O55" s="28">
        <f t="shared" si="27"/>
        <v>2714.4423076923076</v>
      </c>
      <c r="P55" s="28">
        <f t="shared" si="27"/>
        <v>8821.9375000000018</v>
      </c>
      <c r="Q55" s="28">
        <f t="shared" si="27"/>
        <v>35287.75</v>
      </c>
      <c r="R55" s="28">
        <f t="shared" si="27"/>
        <v>194082.62499999997</v>
      </c>
      <c r="S55" s="28">
        <f t="shared" si="27"/>
        <v>1940826.2500000002</v>
      </c>
      <c r="T55" s="8"/>
      <c r="U55"/>
      <c r="V55"/>
      <c r="W55"/>
      <c r="X55"/>
      <c r="Y55"/>
      <c r="Z55"/>
      <c r="AA55"/>
      <c r="AB55"/>
    </row>
    <row r="56" spans="1:28" ht="16" thickBot="1" x14ac:dyDescent="0.25"/>
    <row r="57" spans="1:28" s="13" customFormat="1" ht="16" thickBot="1" x14ac:dyDescent="0.25">
      <c r="A57" s="3" t="s">
        <v>23</v>
      </c>
      <c r="B57" s="14" t="s">
        <v>2</v>
      </c>
      <c r="C57" s="9" t="s">
        <v>3</v>
      </c>
      <c r="D57" s="55" t="s">
        <v>5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7"/>
      <c r="T57"/>
      <c r="U57"/>
      <c r="V57"/>
      <c r="W57"/>
      <c r="X57"/>
      <c r="Y57"/>
      <c r="Z57"/>
      <c r="AA57"/>
      <c r="AB57"/>
    </row>
    <row r="58" spans="1:28" s="13" customFormat="1" ht="16" thickBot="1" x14ac:dyDescent="0.25">
      <c r="A58" s="7"/>
      <c r="B58" s="9">
        <v>10</v>
      </c>
      <c r="C58" s="6">
        <f>$C$1-B58</f>
        <v>15</v>
      </c>
      <c r="D58" s="14">
        <v>1</v>
      </c>
      <c r="E58" s="15">
        <f>D58+1</f>
        <v>2</v>
      </c>
      <c r="F58" s="15">
        <f t="shared" ref="F58:S58" si="28">E58+1</f>
        <v>3</v>
      </c>
      <c r="G58" s="15">
        <f t="shared" si="28"/>
        <v>4</v>
      </c>
      <c r="H58" s="15">
        <f t="shared" si="28"/>
        <v>5</v>
      </c>
      <c r="I58" s="15">
        <f t="shared" si="28"/>
        <v>6</v>
      </c>
      <c r="J58" s="15">
        <f t="shared" si="28"/>
        <v>7</v>
      </c>
      <c r="K58" s="15">
        <f t="shared" si="28"/>
        <v>8</v>
      </c>
      <c r="L58" s="15">
        <f t="shared" si="28"/>
        <v>9</v>
      </c>
      <c r="M58" s="15">
        <f t="shared" si="28"/>
        <v>10</v>
      </c>
      <c r="N58" s="15">
        <f t="shared" si="28"/>
        <v>11</v>
      </c>
      <c r="O58" s="15">
        <f t="shared" si="28"/>
        <v>12</v>
      </c>
      <c r="P58" s="15">
        <f t="shared" si="28"/>
        <v>13</v>
      </c>
      <c r="Q58" s="15">
        <f t="shared" si="28"/>
        <v>14</v>
      </c>
      <c r="R58" s="15">
        <f t="shared" si="28"/>
        <v>15</v>
      </c>
      <c r="S58" s="16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3" customFormat="1" x14ac:dyDescent="0.2">
      <c r="C59" s="10" t="s">
        <v>1</v>
      </c>
      <c r="D59" s="3">
        <f>COMBIN($C$58,D58)/COMBIN($C$1,D58)</f>
        <v>0.6</v>
      </c>
      <c r="E59" s="17">
        <f>COMBIN($C$58,E58)/COMBIN($C$1,E58)</f>
        <v>0.35</v>
      </c>
      <c r="F59" s="17">
        <f>COMBIN($C$58,F58)/COMBIN($C$1,F58)</f>
        <v>0.19782608695652176</v>
      </c>
      <c r="G59" s="17">
        <f>COMBIN($C$58,G58)/COMBIN($C$1,G58)</f>
        <v>0.10790513833992094</v>
      </c>
      <c r="H59" s="17">
        <f>COMBIN($C$58,H58)/COMBIN($C$1,H58)</f>
        <v>5.6521739130434789E-2</v>
      </c>
      <c r="I59" s="17">
        <f>COMBIN($C$58,I58)/COMBIN($C$1,I58)</f>
        <v>2.8260869565217395E-2</v>
      </c>
      <c r="J59" s="17">
        <f>COMBIN($C$58,J58)/COMBIN($C$1,J58)</f>
        <v>1.3386727688787179E-2</v>
      </c>
      <c r="K59" s="17">
        <f>COMBIN($C$58,K58)/COMBIN($C$1,K58)</f>
        <v>5.9496567505720813E-3</v>
      </c>
      <c r="L59" s="17">
        <f>COMBIN($C$58,L58)/COMBIN($C$1,L58)</f>
        <v>2.4498586620002693E-3</v>
      </c>
      <c r="M59" s="17">
        <f>COMBIN($C$58,M58)/COMBIN($C$1,M58)</f>
        <v>9.1869699825010106E-4</v>
      </c>
      <c r="N59" s="17">
        <f>COMBIN($C$58,N58)/COMBIN($C$1,N58)</f>
        <v>3.0623233275003367E-4</v>
      </c>
      <c r="O59" s="17">
        <f>COMBIN($C$58,O58)/COMBIN($C$1,O58)</f>
        <v>8.7494952214295328E-5</v>
      </c>
      <c r="P59" s="17">
        <f>COMBIN($C$58,P58)/COMBIN($C$1,P58)</f>
        <v>2.0191142818683533E-5</v>
      </c>
      <c r="Q59" s="17">
        <f>COMBIN($C$58,Q58)/COMBIN($C$1,Q58)</f>
        <v>3.3651904697805896E-6</v>
      </c>
      <c r="R59" s="17">
        <f>COMBIN($C$58,R58)/COMBIN($C$1,R58)</f>
        <v>3.0592640634369E-7</v>
      </c>
      <c r="S59" s="4"/>
      <c r="T59"/>
      <c r="U59"/>
      <c r="V59"/>
      <c r="W59"/>
      <c r="X59"/>
      <c r="Y59"/>
      <c r="Z59"/>
      <c r="AA59"/>
      <c r="AB59"/>
    </row>
    <row r="60" spans="1:28" s="13" customFormat="1" x14ac:dyDescent="0.2">
      <c r="C60" s="11" t="s">
        <v>6</v>
      </c>
      <c r="D60" s="5">
        <f>1/D59</f>
        <v>1.6666666666666667</v>
      </c>
      <c r="E60" s="13">
        <f t="shared" ref="E60:R60" si="29">1/E59</f>
        <v>2.8571428571428572</v>
      </c>
      <c r="F60" s="13">
        <f t="shared" si="29"/>
        <v>5.0549450549450547</v>
      </c>
      <c r="G60" s="13">
        <f t="shared" si="29"/>
        <v>9.2673992673992682</v>
      </c>
      <c r="H60" s="13">
        <f t="shared" si="29"/>
        <v>17.69230769230769</v>
      </c>
      <c r="I60" s="13">
        <f t="shared" si="29"/>
        <v>35.38461538461538</v>
      </c>
      <c r="J60" s="13">
        <f t="shared" si="29"/>
        <v>74.700854700854734</v>
      </c>
      <c r="K60" s="13">
        <f t="shared" si="29"/>
        <v>168.07692307692309</v>
      </c>
      <c r="L60" s="13">
        <f t="shared" si="29"/>
        <v>408.18681318681314</v>
      </c>
      <c r="M60" s="13">
        <f t="shared" si="29"/>
        <v>1088.4981684981683</v>
      </c>
      <c r="N60" s="13">
        <f t="shared" si="29"/>
        <v>3265.4945054945051</v>
      </c>
      <c r="O60" s="13">
        <f t="shared" si="29"/>
        <v>11429.23076923077</v>
      </c>
      <c r="P60" s="13">
        <f t="shared" si="29"/>
        <v>49526.666666666679</v>
      </c>
      <c r="Q60" s="13">
        <f t="shared" si="29"/>
        <v>297160</v>
      </c>
      <c r="R60" s="13">
        <f t="shared" si="29"/>
        <v>3268759.9999999995</v>
      </c>
      <c r="S60" s="6"/>
      <c r="T60"/>
      <c r="U60"/>
      <c r="V60"/>
      <c r="W60"/>
      <c r="X60"/>
      <c r="Y60"/>
      <c r="Z60"/>
      <c r="AA60"/>
      <c r="AB60"/>
    </row>
    <row r="61" spans="1:28" s="13" customFormat="1" ht="16" thickBot="1" x14ac:dyDescent="0.25">
      <c r="C61" s="12" t="s">
        <v>8</v>
      </c>
      <c r="D61" s="7">
        <f>$F$1*D60</f>
        <v>1.5833333333333333</v>
      </c>
      <c r="E61" s="18">
        <f t="shared" ref="E61:R61" si="30">$F$1*E60</f>
        <v>2.7142857142857144</v>
      </c>
      <c r="F61" s="18">
        <f t="shared" si="30"/>
        <v>4.802197802197802</v>
      </c>
      <c r="G61" s="18">
        <f t="shared" si="30"/>
        <v>8.8040293040293047</v>
      </c>
      <c r="H61" s="18">
        <f t="shared" si="30"/>
        <v>16.807692307692303</v>
      </c>
      <c r="I61" s="18">
        <f t="shared" si="30"/>
        <v>33.615384615384606</v>
      </c>
      <c r="J61" s="18">
        <f t="shared" si="30"/>
        <v>70.965811965811994</v>
      </c>
      <c r="K61" s="18">
        <f t="shared" si="30"/>
        <v>159.67307692307693</v>
      </c>
      <c r="L61" s="18">
        <f t="shared" si="30"/>
        <v>387.77747252747247</v>
      </c>
      <c r="M61" s="18">
        <f t="shared" si="30"/>
        <v>1034.0732600732599</v>
      </c>
      <c r="N61" s="18">
        <f t="shared" si="30"/>
        <v>3102.2197802197798</v>
      </c>
      <c r="O61" s="18">
        <f t="shared" si="30"/>
        <v>10857.76923076923</v>
      </c>
      <c r="P61" s="18">
        <f t="shared" si="30"/>
        <v>47050.333333333343</v>
      </c>
      <c r="Q61" s="18">
        <f t="shared" si="30"/>
        <v>282302</v>
      </c>
      <c r="R61" s="18">
        <f t="shared" si="30"/>
        <v>3105321.9999999995</v>
      </c>
      <c r="S61" s="8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3" customFormat="1" ht="16" thickBot="1" x14ac:dyDescent="0.25">
      <c r="A63" s="3" t="s">
        <v>24</v>
      </c>
      <c r="B63" s="14" t="s">
        <v>2</v>
      </c>
      <c r="C63" s="9" t="s">
        <v>3</v>
      </c>
      <c r="D63" s="55" t="s">
        <v>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7"/>
      <c r="S63"/>
      <c r="T63"/>
      <c r="U63"/>
      <c r="V63"/>
      <c r="W63"/>
      <c r="X63"/>
      <c r="Y63"/>
      <c r="Z63"/>
      <c r="AA63"/>
      <c r="AB63"/>
    </row>
    <row r="64" spans="1:28" s="13" customFormat="1" ht="16" thickBot="1" x14ac:dyDescent="0.25">
      <c r="A64" s="7"/>
      <c r="B64" s="9">
        <v>11</v>
      </c>
      <c r="C64" s="6">
        <f>$C$1-B64</f>
        <v>14</v>
      </c>
      <c r="D64" s="14">
        <v>1</v>
      </c>
      <c r="E64" s="15">
        <f>D64+1</f>
        <v>2</v>
      </c>
      <c r="F64" s="15">
        <f t="shared" ref="F64:R64" si="31">E64+1</f>
        <v>3</v>
      </c>
      <c r="G64" s="15">
        <f t="shared" si="31"/>
        <v>4</v>
      </c>
      <c r="H64" s="15">
        <f t="shared" si="31"/>
        <v>5</v>
      </c>
      <c r="I64" s="15">
        <f t="shared" si="31"/>
        <v>6</v>
      </c>
      <c r="J64" s="15">
        <f t="shared" si="31"/>
        <v>7</v>
      </c>
      <c r="K64" s="15">
        <f t="shared" si="31"/>
        <v>8</v>
      </c>
      <c r="L64" s="15">
        <f t="shared" si="31"/>
        <v>9</v>
      </c>
      <c r="M64" s="15">
        <f t="shared" si="31"/>
        <v>10</v>
      </c>
      <c r="N64" s="15">
        <f t="shared" si="31"/>
        <v>11</v>
      </c>
      <c r="O64" s="15">
        <f t="shared" si="31"/>
        <v>12</v>
      </c>
      <c r="P64" s="15">
        <f t="shared" si="31"/>
        <v>13</v>
      </c>
      <c r="Q64" s="15">
        <f t="shared" si="31"/>
        <v>14</v>
      </c>
      <c r="R64" s="16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3" customFormat="1" x14ac:dyDescent="0.2">
      <c r="C65" s="10" t="s">
        <v>1</v>
      </c>
      <c r="D65" s="3">
        <f>COMBIN($C$64,D64)/COMBIN($C$1,D64)</f>
        <v>0.56000000000000005</v>
      </c>
      <c r="E65" s="17">
        <f>COMBIN($C$64,E64)/COMBIN($C$1,E64)</f>
        <v>0.30333333333333334</v>
      </c>
      <c r="F65" s="17">
        <f>COMBIN($C$64,F64)/COMBIN($C$1,F64)</f>
        <v>0.1582608695652174</v>
      </c>
      <c r="G65" s="17">
        <f>COMBIN($C$64,G64)/COMBIN($C$1,G64)</f>
        <v>7.9130434782608686E-2</v>
      </c>
      <c r="H65" s="17">
        <f>COMBIN($C$64,H64)/COMBIN($C$1,H64)</f>
        <v>3.7681159420289857E-2</v>
      </c>
      <c r="I65" s="17">
        <f>COMBIN($C$64,I64)/COMBIN($C$1,I64)</f>
        <v>1.6956521739130436E-2</v>
      </c>
      <c r="J65" s="17">
        <f>COMBIN($C$64,J64)/COMBIN($C$1,J64)</f>
        <v>7.139588100686497E-3</v>
      </c>
      <c r="K65" s="17">
        <f>COMBIN($C$64,K64)/COMBIN($C$1,K64)</f>
        <v>2.7765064836003045E-3</v>
      </c>
      <c r="L65" s="17">
        <f>COMBIN($C$64,L64)/COMBIN($C$1,L64)</f>
        <v>9.7994346480010774E-4</v>
      </c>
      <c r="M65" s="17">
        <f>COMBIN($C$64,M64)/COMBIN($C$1,M64)</f>
        <v>3.0623233275003372E-4</v>
      </c>
      <c r="N65" s="17">
        <f>COMBIN($C$64,N64)/COMBIN($C$1,N64)</f>
        <v>8.1661955400008974E-5</v>
      </c>
      <c r="O65" s="17">
        <f>COMBIN($C$64,O64)/COMBIN($C$1,O64)</f>
        <v>1.7498990442859063E-5</v>
      </c>
      <c r="P65" s="17">
        <f>COMBIN($C$64,P64)/COMBIN($C$1,P64)</f>
        <v>2.6921523758244713E-6</v>
      </c>
      <c r="Q65" s="17">
        <f>COMBIN($C$64,Q64)/COMBIN($C$1,Q64)</f>
        <v>2.2434603131870596E-7</v>
      </c>
      <c r="R65" s="4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3" customFormat="1" x14ac:dyDescent="0.2">
      <c r="C66" s="11" t="s">
        <v>6</v>
      </c>
      <c r="D66" s="37">
        <f>1/D65</f>
        <v>1.7857142857142856</v>
      </c>
      <c r="E66" s="24">
        <f t="shared" ref="E66:Q66" si="33">1/E65</f>
        <v>3.2967032967032965</v>
      </c>
      <c r="F66" s="24">
        <f t="shared" si="33"/>
        <v>6.3186813186813184</v>
      </c>
      <c r="G66" s="24">
        <f t="shared" si="33"/>
        <v>12.637362637362639</v>
      </c>
      <c r="H66" s="24">
        <f t="shared" si="33"/>
        <v>26.538461538461537</v>
      </c>
      <c r="I66" s="24">
        <f t="shared" si="33"/>
        <v>58.974358974358971</v>
      </c>
      <c r="J66" s="24">
        <f t="shared" si="33"/>
        <v>140.0641025641026</v>
      </c>
      <c r="K66" s="24">
        <f t="shared" si="33"/>
        <v>360.16483516483527</v>
      </c>
      <c r="L66" s="24">
        <f t="shared" si="33"/>
        <v>1020.4670329670329</v>
      </c>
      <c r="M66" s="24">
        <f t="shared" si="33"/>
        <v>3265.4945054945047</v>
      </c>
      <c r="N66" s="24">
        <f t="shared" si="33"/>
        <v>12245.604395604396</v>
      </c>
      <c r="O66" s="24">
        <f t="shared" si="33"/>
        <v>57146.153846153858</v>
      </c>
      <c r="P66" s="24">
        <f t="shared" si="33"/>
        <v>371450.00000000006</v>
      </c>
      <c r="Q66" s="24">
        <f t="shared" si="33"/>
        <v>4457400</v>
      </c>
      <c r="R66" s="6"/>
      <c r="S66"/>
      <c r="T66"/>
      <c r="U66"/>
      <c r="V66"/>
      <c r="W66"/>
      <c r="X66"/>
      <c r="Y66"/>
      <c r="Z66"/>
      <c r="AA66"/>
      <c r="AB66"/>
    </row>
    <row r="67" spans="1:28" s="13" customFormat="1" ht="16" thickBot="1" x14ac:dyDescent="0.25">
      <c r="C67" s="12" t="s">
        <v>8</v>
      </c>
      <c r="D67" s="34">
        <f>$F$1*D66</f>
        <v>1.6964285714285712</v>
      </c>
      <c r="E67" s="25">
        <f t="shared" ref="E67:Q67" si="34">$F$1*E66</f>
        <v>3.1318681318681314</v>
      </c>
      <c r="F67" s="25">
        <f t="shared" si="34"/>
        <v>6.0027472527472518</v>
      </c>
      <c r="G67" s="25">
        <f t="shared" si="34"/>
        <v>12.005494505494505</v>
      </c>
      <c r="H67" s="25">
        <f t="shared" si="34"/>
        <v>25.21153846153846</v>
      </c>
      <c r="I67" s="25">
        <f t="shared" si="34"/>
        <v>56.025641025641022</v>
      </c>
      <c r="J67" s="25">
        <f t="shared" si="34"/>
        <v>133.06089743589746</v>
      </c>
      <c r="K67" s="25">
        <f t="shared" si="34"/>
        <v>342.15659340659352</v>
      </c>
      <c r="L67" s="25">
        <f t="shared" si="34"/>
        <v>969.44368131868123</v>
      </c>
      <c r="M67" s="25">
        <f t="shared" si="34"/>
        <v>3102.2197802197793</v>
      </c>
      <c r="N67" s="25">
        <f t="shared" si="34"/>
        <v>11633.324175824175</v>
      </c>
      <c r="O67" s="25">
        <f t="shared" si="34"/>
        <v>54288.846153846163</v>
      </c>
      <c r="P67" s="25">
        <f t="shared" si="34"/>
        <v>352877.50000000006</v>
      </c>
      <c r="Q67" s="25">
        <f t="shared" si="34"/>
        <v>4234530</v>
      </c>
      <c r="R67" s="8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3" customFormat="1" ht="16" thickBot="1" x14ac:dyDescent="0.25">
      <c r="A69" s="3" t="s">
        <v>25</v>
      </c>
      <c r="B69" s="14" t="s">
        <v>2</v>
      </c>
      <c r="C69" s="9" t="s">
        <v>3</v>
      </c>
      <c r="D69" s="55" t="s">
        <v>5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7"/>
      <c r="R69"/>
      <c r="S69"/>
      <c r="T69"/>
      <c r="U69"/>
      <c r="V69"/>
      <c r="W69"/>
      <c r="X69"/>
      <c r="Y69"/>
      <c r="Z69"/>
      <c r="AA69"/>
      <c r="AB69"/>
    </row>
    <row r="70" spans="1:28" s="13" customFormat="1" ht="16" thickBot="1" x14ac:dyDescent="0.25">
      <c r="A70" s="7"/>
      <c r="B70" s="9">
        <v>12</v>
      </c>
      <c r="C70" s="6">
        <f>$C$1-B70</f>
        <v>13</v>
      </c>
      <c r="D70" s="14">
        <v>1</v>
      </c>
      <c r="E70" s="15">
        <f>D70+1</f>
        <v>2</v>
      </c>
      <c r="F70" s="15">
        <f t="shared" ref="F70:Q70" si="35">E70+1</f>
        <v>3</v>
      </c>
      <c r="G70" s="15">
        <f t="shared" si="35"/>
        <v>4</v>
      </c>
      <c r="H70" s="15">
        <f t="shared" si="35"/>
        <v>5</v>
      </c>
      <c r="I70" s="15">
        <f t="shared" si="35"/>
        <v>6</v>
      </c>
      <c r="J70" s="15">
        <f t="shared" si="35"/>
        <v>7</v>
      </c>
      <c r="K70" s="15">
        <f t="shared" si="35"/>
        <v>8</v>
      </c>
      <c r="L70" s="15">
        <f t="shared" si="35"/>
        <v>9</v>
      </c>
      <c r="M70" s="15">
        <f t="shared" si="35"/>
        <v>10</v>
      </c>
      <c r="N70" s="15">
        <f t="shared" si="35"/>
        <v>11</v>
      </c>
      <c r="O70" s="15">
        <f t="shared" si="35"/>
        <v>12</v>
      </c>
      <c r="P70" s="15">
        <f t="shared" si="35"/>
        <v>13</v>
      </c>
      <c r="Q70" s="16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3" customFormat="1" x14ac:dyDescent="0.2">
      <c r="C71" s="10" t="s">
        <v>1</v>
      </c>
      <c r="D71" s="3">
        <f>COMBIN($C$70,D70)/COMBIN($C$1,D70)</f>
        <v>0.52</v>
      </c>
      <c r="E71" s="17">
        <f>COMBIN($C$70,E70)/COMBIN($C$1,E70)</f>
        <v>0.26</v>
      </c>
      <c r="F71" s="17">
        <f>COMBIN($C$70,F70)/COMBIN($C$1,F70)</f>
        <v>0.12434782608695652</v>
      </c>
      <c r="G71" s="17">
        <f>COMBIN($C$70,G70)/COMBIN($C$1,G70)</f>
        <v>5.6521739130434775E-2</v>
      </c>
      <c r="H71" s="17">
        <f>COMBIN($C$70,H70)/COMBIN($C$1,H70)</f>
        <v>2.4223602484472053E-2</v>
      </c>
      <c r="I71" s="17">
        <f>COMBIN($C$70,I70)/COMBIN($C$1,I70)</f>
        <v>9.6894409937888209E-3</v>
      </c>
      <c r="J71" s="17">
        <f>COMBIN($C$70,J70)/COMBIN($C$1,J70)</f>
        <v>3.5697940503432485E-3</v>
      </c>
      <c r="K71" s="17">
        <f>COMBIN($C$70,K70)/COMBIN($C$1,K70)</f>
        <v>1.1899313501144164E-3</v>
      </c>
      <c r="L71" s="17">
        <f>COMBIN($C$70,L70)/COMBIN($C$1,L70)</f>
        <v>3.4997980885718131E-4</v>
      </c>
      <c r="M71" s="17">
        <f>COMBIN($C$70,M70)/COMBIN($C$1,M70)</f>
        <v>8.7494952214295341E-5</v>
      </c>
      <c r="N71" s="17">
        <f>COMBIN($C$70,N70)/COMBIN($C$1,N70)</f>
        <v>1.7498990442859066E-5</v>
      </c>
      <c r="O71" s="17">
        <f>COMBIN($C$70,O70)/COMBIN($C$1,O70)</f>
        <v>2.4998557775512948E-6</v>
      </c>
      <c r="P71" s="17">
        <f>COMBIN($C$70,P70)/COMBIN($C$1,P70)</f>
        <v>1.9229659827317651E-7</v>
      </c>
      <c r="Q71" s="4"/>
      <c r="R71"/>
      <c r="S71"/>
      <c r="T71"/>
      <c r="U71"/>
      <c r="V71"/>
      <c r="W71"/>
      <c r="X71"/>
      <c r="Y71"/>
      <c r="Z71"/>
      <c r="AA71"/>
      <c r="AB71"/>
    </row>
    <row r="72" spans="1:28" s="13" customFormat="1" x14ac:dyDescent="0.2">
      <c r="C72" s="11" t="s">
        <v>6</v>
      </c>
      <c r="D72" s="5">
        <f>1/D71</f>
        <v>1.9230769230769229</v>
      </c>
      <c r="E72" s="13">
        <f t="shared" ref="E72:P72" si="36">1/E71</f>
        <v>3.8461538461538458</v>
      </c>
      <c r="F72" s="13">
        <f t="shared" si="36"/>
        <v>8.0419580419580416</v>
      </c>
      <c r="G72" s="13">
        <f t="shared" si="36"/>
        <v>17.692307692307693</v>
      </c>
      <c r="H72" s="13">
        <f t="shared" si="36"/>
        <v>41.282051282051277</v>
      </c>
      <c r="I72" s="13">
        <f t="shared" si="36"/>
        <v>103.20512820512819</v>
      </c>
      <c r="J72" s="13">
        <f t="shared" si="36"/>
        <v>280.1282051282052</v>
      </c>
      <c r="K72" s="13">
        <f t="shared" si="36"/>
        <v>840.38461538461547</v>
      </c>
      <c r="L72" s="13">
        <f t="shared" si="36"/>
        <v>2857.3076923076924</v>
      </c>
      <c r="M72" s="13">
        <f t="shared" si="36"/>
        <v>11429.230769230768</v>
      </c>
      <c r="N72" s="13">
        <f t="shared" si="36"/>
        <v>57146.153846153844</v>
      </c>
      <c r="O72" s="13">
        <f t="shared" si="36"/>
        <v>400023.07692307699</v>
      </c>
      <c r="P72" s="13">
        <f t="shared" si="36"/>
        <v>5200300.0000000009</v>
      </c>
      <c r="Q72" s="6"/>
      <c r="R72"/>
      <c r="S72"/>
      <c r="T72"/>
      <c r="U72"/>
      <c r="V72"/>
      <c r="W72"/>
      <c r="X72"/>
      <c r="Y72"/>
      <c r="Z72"/>
      <c r="AA72"/>
      <c r="AB72"/>
    </row>
    <row r="73" spans="1:28" s="13" customFormat="1" ht="16" thickBot="1" x14ac:dyDescent="0.25">
      <c r="C73" s="12" t="s">
        <v>8</v>
      </c>
      <c r="D73" s="7">
        <f>$F$1*D72</f>
        <v>1.8269230769230766</v>
      </c>
      <c r="E73" s="18">
        <f t="shared" ref="E73:P73" si="37">$F$1*E72</f>
        <v>3.6538461538461533</v>
      </c>
      <c r="F73" s="18">
        <f t="shared" si="37"/>
        <v>7.6398601398601391</v>
      </c>
      <c r="G73" s="18">
        <f t="shared" si="37"/>
        <v>16.807692307692307</v>
      </c>
      <c r="H73" s="18">
        <f t="shared" si="37"/>
        <v>39.217948717948708</v>
      </c>
      <c r="I73" s="18">
        <f t="shared" si="37"/>
        <v>98.044871794871781</v>
      </c>
      <c r="J73" s="18">
        <f t="shared" si="37"/>
        <v>266.12179487179492</v>
      </c>
      <c r="K73" s="18">
        <f t="shared" si="37"/>
        <v>798.36538461538464</v>
      </c>
      <c r="L73" s="18">
        <f t="shared" si="37"/>
        <v>2714.4423076923076</v>
      </c>
      <c r="M73" s="18">
        <f t="shared" si="37"/>
        <v>10857.769230769229</v>
      </c>
      <c r="N73" s="18">
        <f t="shared" si="37"/>
        <v>54288.846153846149</v>
      </c>
      <c r="O73" s="18">
        <f t="shared" si="37"/>
        <v>380021.92307692312</v>
      </c>
      <c r="P73" s="18">
        <f t="shared" si="37"/>
        <v>4940285.0000000009</v>
      </c>
      <c r="Q73" s="8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3" customFormat="1" ht="16" thickBot="1" x14ac:dyDescent="0.25">
      <c r="A75" s="3" t="s">
        <v>26</v>
      </c>
      <c r="B75" s="14" t="s">
        <v>2</v>
      </c>
      <c r="C75" s="9" t="s">
        <v>3</v>
      </c>
      <c r="D75" s="55" t="s">
        <v>5</v>
      </c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7"/>
      <c r="Q75"/>
      <c r="R75"/>
      <c r="S75"/>
      <c r="T75"/>
      <c r="U75"/>
      <c r="V75"/>
      <c r="W75"/>
      <c r="X75"/>
      <c r="Y75"/>
      <c r="Z75"/>
      <c r="AA75"/>
      <c r="AB75"/>
    </row>
    <row r="76" spans="1:28" s="13" customFormat="1" ht="16" thickBot="1" x14ac:dyDescent="0.25">
      <c r="A76" s="7"/>
      <c r="B76" s="9">
        <v>13</v>
      </c>
      <c r="C76" s="6">
        <f>$C$1-B76</f>
        <v>12</v>
      </c>
      <c r="D76" s="14">
        <v>1</v>
      </c>
      <c r="E76" s="15">
        <f>D76+1</f>
        <v>2</v>
      </c>
      <c r="F76" s="15">
        <f t="shared" ref="F76:P76" si="38">E76+1</f>
        <v>3</v>
      </c>
      <c r="G76" s="15">
        <f t="shared" si="38"/>
        <v>4</v>
      </c>
      <c r="H76" s="15">
        <f t="shared" si="38"/>
        <v>5</v>
      </c>
      <c r="I76" s="15">
        <f t="shared" si="38"/>
        <v>6</v>
      </c>
      <c r="J76" s="15">
        <f t="shared" si="38"/>
        <v>7</v>
      </c>
      <c r="K76" s="15">
        <f t="shared" si="38"/>
        <v>8</v>
      </c>
      <c r="L76" s="15">
        <f t="shared" si="38"/>
        <v>9</v>
      </c>
      <c r="M76" s="15">
        <f t="shared" si="38"/>
        <v>10</v>
      </c>
      <c r="N76" s="15">
        <f t="shared" si="38"/>
        <v>11</v>
      </c>
      <c r="O76" s="15">
        <f t="shared" si="38"/>
        <v>12</v>
      </c>
      <c r="P76" s="16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3" customFormat="1" x14ac:dyDescent="0.2">
      <c r="C77" s="10" t="s">
        <v>1</v>
      </c>
      <c r="D77" s="3">
        <f>COMBIN($C$76,D76)/COMBIN($C$1,D76)</f>
        <v>0.48</v>
      </c>
      <c r="E77" s="17">
        <f>COMBIN($C$76,E76)/COMBIN($C$1,E76)</f>
        <v>0.22</v>
      </c>
      <c r="F77" s="17">
        <f>COMBIN($C$76,F76)/COMBIN($C$1,F76)</f>
        <v>9.5652173913043481E-2</v>
      </c>
      <c r="G77" s="17">
        <f>COMBIN($C$76,G76)/COMBIN($C$1,G76)</f>
        <v>3.9130434782608692E-2</v>
      </c>
      <c r="H77" s="17">
        <f>COMBIN($C$76,H76)/COMBIN($C$1,H76)</f>
        <v>1.4906832298136647E-2</v>
      </c>
      <c r="I77" s="17">
        <f>COMBIN($C$76,I76)/COMBIN($C$1,I76)</f>
        <v>5.2173913043478256E-3</v>
      </c>
      <c r="J77" s="17">
        <f>COMBIN($C$76,J76)/COMBIN($C$1,J76)</f>
        <v>1.6475972540045763E-3</v>
      </c>
      <c r="K77" s="17">
        <f>COMBIN($C$76,K76)/COMBIN($C$1,K76)</f>
        <v>4.5766590389016021E-4</v>
      </c>
      <c r="L77" s="17">
        <f>COMBIN($C$76,L76)/COMBIN($C$1,L76)</f>
        <v>1.0768609503297887E-4</v>
      </c>
      <c r="M77" s="17">
        <f>COMBIN($C$76,M76)/COMBIN($C$1,M76)</f>
        <v>2.0191142818683539E-5</v>
      </c>
      <c r="N77" s="17">
        <f>COMBIN($C$76,N76)/COMBIN($C$1,N76)</f>
        <v>2.6921523758244718E-6</v>
      </c>
      <c r="O77" s="17">
        <f>COMBIN($C$76,O76)/COMBIN($C$1,O76)</f>
        <v>1.9229659827317651E-7</v>
      </c>
      <c r="P77" s="4"/>
      <c r="Q77"/>
      <c r="R77"/>
      <c r="S77"/>
      <c r="T77"/>
      <c r="U77"/>
      <c r="V77"/>
      <c r="W77"/>
      <c r="X77"/>
      <c r="Y77"/>
      <c r="Z77"/>
      <c r="AA77"/>
      <c r="AB77"/>
    </row>
    <row r="78" spans="1:28" s="13" customFormat="1" x14ac:dyDescent="0.2">
      <c r="C78" s="11" t="s">
        <v>6</v>
      </c>
      <c r="D78" s="5">
        <f>1/D77</f>
        <v>2.0833333333333335</v>
      </c>
      <c r="E78" s="13">
        <f t="shared" ref="E78:O78" si="39">1/E77</f>
        <v>4.5454545454545459</v>
      </c>
      <c r="F78" s="13">
        <f t="shared" si="39"/>
        <v>10.454545454545455</v>
      </c>
      <c r="G78" s="13">
        <f t="shared" si="39"/>
        <v>25.555555555555557</v>
      </c>
      <c r="H78" s="13">
        <f t="shared" si="39"/>
        <v>67.083333333333329</v>
      </c>
      <c r="I78" s="13">
        <f t="shared" si="39"/>
        <v>191.66666666666669</v>
      </c>
      <c r="J78" s="13">
        <f t="shared" si="39"/>
        <v>606.94444444444457</v>
      </c>
      <c r="K78" s="13">
        <f t="shared" si="39"/>
        <v>2185</v>
      </c>
      <c r="L78" s="13">
        <f t="shared" si="39"/>
        <v>9286.25</v>
      </c>
      <c r="M78" s="13">
        <f t="shared" si="39"/>
        <v>49526.666666666664</v>
      </c>
      <c r="N78" s="13">
        <f t="shared" si="39"/>
        <v>371450</v>
      </c>
      <c r="O78" s="13">
        <f t="shared" si="39"/>
        <v>5200300.0000000009</v>
      </c>
      <c r="P78" s="6"/>
      <c r="Q78"/>
      <c r="R78"/>
      <c r="S78"/>
      <c r="T78"/>
      <c r="U78"/>
      <c r="V78"/>
      <c r="W78"/>
      <c r="X78"/>
      <c r="Y78"/>
      <c r="Z78"/>
      <c r="AA78"/>
      <c r="AB78"/>
    </row>
    <row r="79" spans="1:28" s="13" customFormat="1" ht="16" thickBot="1" x14ac:dyDescent="0.25">
      <c r="C79" s="12" t="s">
        <v>8</v>
      </c>
      <c r="D79" s="7">
        <f>$F$1*D78</f>
        <v>1.9791666666666667</v>
      </c>
      <c r="E79" s="18">
        <f t="shared" ref="E79:O79" si="40">$F$1*E78</f>
        <v>4.3181818181818183</v>
      </c>
      <c r="F79" s="18">
        <f t="shared" si="40"/>
        <v>9.9318181818181817</v>
      </c>
      <c r="G79" s="18">
        <f t="shared" si="40"/>
        <v>24.277777777777779</v>
      </c>
      <c r="H79" s="18">
        <f t="shared" si="40"/>
        <v>63.729166666666657</v>
      </c>
      <c r="I79" s="18">
        <f t="shared" si="40"/>
        <v>182.08333333333334</v>
      </c>
      <c r="J79" s="18">
        <f t="shared" si="40"/>
        <v>576.59722222222229</v>
      </c>
      <c r="K79" s="18">
        <f t="shared" si="40"/>
        <v>2075.75</v>
      </c>
      <c r="L79" s="18">
        <f t="shared" si="40"/>
        <v>8821.9375</v>
      </c>
      <c r="M79" s="18">
        <f t="shared" si="40"/>
        <v>47050.333333333328</v>
      </c>
      <c r="N79" s="18">
        <f t="shared" si="40"/>
        <v>352877.5</v>
      </c>
      <c r="O79" s="18">
        <f t="shared" si="40"/>
        <v>4940285.0000000009</v>
      </c>
      <c r="P79" s="8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3" customFormat="1" ht="16" thickBot="1" x14ac:dyDescent="0.25">
      <c r="A81" s="3" t="s">
        <v>27</v>
      </c>
      <c r="B81" s="14" t="s">
        <v>2</v>
      </c>
      <c r="C81" s="9" t="s">
        <v>3</v>
      </c>
      <c r="D81" s="55" t="s">
        <v>5</v>
      </c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7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3" customFormat="1" ht="16" thickBot="1" x14ac:dyDescent="0.25">
      <c r="A82" s="7"/>
      <c r="B82" s="9">
        <v>14</v>
      </c>
      <c r="C82" s="6">
        <f>$C$1-B82</f>
        <v>11</v>
      </c>
      <c r="D82" s="14">
        <v>1</v>
      </c>
      <c r="E82" s="15">
        <f>D82+1</f>
        <v>2</v>
      </c>
      <c r="F82" s="15">
        <f t="shared" ref="F82:O82" si="41">E82+1</f>
        <v>3</v>
      </c>
      <c r="G82" s="15">
        <f t="shared" si="41"/>
        <v>4</v>
      </c>
      <c r="H82" s="15">
        <f t="shared" si="41"/>
        <v>5</v>
      </c>
      <c r="I82" s="15">
        <f t="shared" si="41"/>
        <v>6</v>
      </c>
      <c r="J82" s="15">
        <f t="shared" si="41"/>
        <v>7</v>
      </c>
      <c r="K82" s="15">
        <f t="shared" si="41"/>
        <v>8</v>
      </c>
      <c r="L82" s="15">
        <f t="shared" si="41"/>
        <v>9</v>
      </c>
      <c r="M82" s="15">
        <f t="shared" si="41"/>
        <v>10</v>
      </c>
      <c r="N82" s="15">
        <f t="shared" si="41"/>
        <v>11</v>
      </c>
      <c r="O82" s="16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3" customFormat="1" x14ac:dyDescent="0.2">
      <c r="C83" s="10" t="s">
        <v>1</v>
      </c>
      <c r="D83" s="3">
        <f>COMBIN($C$82,D82)/COMBIN($C$1,D82)</f>
        <v>0.44</v>
      </c>
      <c r="E83" s="17">
        <f>COMBIN($C$82,E82)/COMBIN($C$1,E82)</f>
        <v>0.18333333333333332</v>
      </c>
      <c r="F83" s="17">
        <f>COMBIN($C$82,F82)/COMBIN($C$1,F82)</f>
        <v>7.1739130434782611E-2</v>
      </c>
      <c r="G83" s="17">
        <f>COMBIN($C$82,G82)/COMBIN($C$1,G82)</f>
        <v>2.6086956521739126E-2</v>
      </c>
      <c r="H83" s="17">
        <f>COMBIN($C$82,H82)/COMBIN($C$1,H82)</f>
        <v>8.6956521739130436E-3</v>
      </c>
      <c r="I83" s="17">
        <f>COMBIN($C$82,I82)/COMBIN($C$1,I82)</f>
        <v>2.6086956521739132E-3</v>
      </c>
      <c r="J83" s="17">
        <f>COMBIN($C$82,J82)/COMBIN($C$1,J82)</f>
        <v>6.8649885583524015E-4</v>
      </c>
      <c r="K83" s="17">
        <f>COMBIN($C$82,K82)/COMBIN($C$1,K82)</f>
        <v>1.5255530129672007E-4</v>
      </c>
      <c r="L83" s="17">
        <f>COMBIN($C$82,L82)/COMBIN($C$1,L82)</f>
        <v>2.6921523758244717E-5</v>
      </c>
      <c r="M83" s="17">
        <f>COMBIN($C$82,M82)/COMBIN($C$1,M82)</f>
        <v>3.36519046978059E-6</v>
      </c>
      <c r="N83" s="17">
        <f>COMBIN($C$82,N82)/COMBIN($C$1,N82)</f>
        <v>2.2434603131870596E-7</v>
      </c>
      <c r="O83" s="4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3" customFormat="1" x14ac:dyDescent="0.2">
      <c r="C84" s="11" t="s">
        <v>6</v>
      </c>
      <c r="D84" s="5">
        <f>1/D83</f>
        <v>2.2727272727272729</v>
      </c>
      <c r="E84" s="13">
        <f t="shared" ref="E84:N84" si="42">1/E83</f>
        <v>5.454545454545455</v>
      </c>
      <c r="F84" s="13">
        <f t="shared" si="42"/>
        <v>13.939393939393939</v>
      </c>
      <c r="G84" s="13">
        <f t="shared" si="42"/>
        <v>38.333333333333343</v>
      </c>
      <c r="H84" s="13">
        <f t="shared" si="42"/>
        <v>115</v>
      </c>
      <c r="I84" s="13">
        <f t="shared" si="42"/>
        <v>383.33333333333331</v>
      </c>
      <c r="J84" s="13">
        <f t="shared" si="42"/>
        <v>1456.666666666667</v>
      </c>
      <c r="K84" s="13">
        <f t="shared" si="42"/>
        <v>6555</v>
      </c>
      <c r="L84" s="13">
        <f t="shared" si="42"/>
        <v>37145</v>
      </c>
      <c r="M84" s="13">
        <f t="shared" si="42"/>
        <v>297159.99999999994</v>
      </c>
      <c r="N84" s="13">
        <f t="shared" si="42"/>
        <v>4457400</v>
      </c>
      <c r="O84" s="6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3" customFormat="1" ht="16" thickBot="1" x14ac:dyDescent="0.25">
      <c r="C85" s="12" t="s">
        <v>8</v>
      </c>
      <c r="D85" s="7">
        <f>$F$1*D84</f>
        <v>2.1590909090909092</v>
      </c>
      <c r="E85" s="18">
        <f t="shared" ref="E85:N85" si="43">$F$1*E84</f>
        <v>5.1818181818181817</v>
      </c>
      <c r="F85" s="18">
        <f t="shared" si="43"/>
        <v>13.242424242424242</v>
      </c>
      <c r="G85" s="18">
        <f t="shared" si="43"/>
        <v>36.416666666666671</v>
      </c>
      <c r="H85" s="18">
        <f t="shared" si="43"/>
        <v>109.25</v>
      </c>
      <c r="I85" s="18">
        <f t="shared" si="43"/>
        <v>364.16666666666663</v>
      </c>
      <c r="J85" s="18">
        <f t="shared" si="43"/>
        <v>1383.8333333333335</v>
      </c>
      <c r="K85" s="18">
        <f t="shared" si="43"/>
        <v>6227.25</v>
      </c>
      <c r="L85" s="18">
        <f t="shared" si="43"/>
        <v>35287.75</v>
      </c>
      <c r="M85" s="18">
        <f t="shared" si="43"/>
        <v>282301.99999999994</v>
      </c>
      <c r="N85" s="18">
        <f t="shared" si="43"/>
        <v>4234530</v>
      </c>
      <c r="O85" s="8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3" customFormat="1" ht="16" thickBot="1" x14ac:dyDescent="0.25">
      <c r="A87" s="3" t="s">
        <v>28</v>
      </c>
      <c r="B87" s="14" t="s">
        <v>2</v>
      </c>
      <c r="C87" s="9" t="s">
        <v>3</v>
      </c>
      <c r="D87" s="55" t="s">
        <v>5</v>
      </c>
      <c r="E87" s="56"/>
      <c r="F87" s="56"/>
      <c r="G87" s="56"/>
      <c r="H87" s="56"/>
      <c r="I87" s="56"/>
      <c r="J87" s="56"/>
      <c r="K87" s="56"/>
      <c r="L87" s="56"/>
      <c r="M87" s="56"/>
      <c r="N87" s="5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3" customFormat="1" ht="16" thickBot="1" x14ac:dyDescent="0.25">
      <c r="A88" s="7"/>
      <c r="B88" s="9">
        <v>15</v>
      </c>
      <c r="C88" s="6">
        <f>$C$1-B88</f>
        <v>10</v>
      </c>
      <c r="D88" s="14">
        <v>1</v>
      </c>
      <c r="E88" s="15">
        <f>D88+1</f>
        <v>2</v>
      </c>
      <c r="F88" s="15">
        <f t="shared" ref="F88:N88" si="44">E88+1</f>
        <v>3</v>
      </c>
      <c r="G88" s="15">
        <f t="shared" si="44"/>
        <v>4</v>
      </c>
      <c r="H88" s="15">
        <f t="shared" si="44"/>
        <v>5</v>
      </c>
      <c r="I88" s="15">
        <f t="shared" si="44"/>
        <v>6</v>
      </c>
      <c r="J88" s="15">
        <f t="shared" si="44"/>
        <v>7</v>
      </c>
      <c r="K88" s="15">
        <f t="shared" si="44"/>
        <v>8</v>
      </c>
      <c r="L88" s="15">
        <f t="shared" si="44"/>
        <v>9</v>
      </c>
      <c r="M88" s="15">
        <f t="shared" si="44"/>
        <v>10</v>
      </c>
      <c r="N88" s="16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3" customFormat="1" x14ac:dyDescent="0.2">
      <c r="C89" s="10" t="s">
        <v>1</v>
      </c>
      <c r="D89" s="3">
        <f>COMBIN($C$88,D88)/COMBIN($C$1,D88)</f>
        <v>0.4</v>
      </c>
      <c r="E89" s="17">
        <f>COMBIN($C$88,E88)/COMBIN($C$1,E88)</f>
        <v>0.15</v>
      </c>
      <c r="F89" s="17">
        <f>COMBIN($C$88,F88)/COMBIN($C$1,F88)</f>
        <v>5.2173913043478258E-2</v>
      </c>
      <c r="G89" s="17">
        <f>COMBIN($C$88,G88)/COMBIN($C$1,G88)</f>
        <v>1.6600790513833986E-2</v>
      </c>
      <c r="H89" s="17">
        <f>COMBIN($C$88,H88)/COMBIN($C$1,H88)</f>
        <v>4.7430830039525695E-3</v>
      </c>
      <c r="I89" s="17">
        <f>COMBIN($C$88,I88)/COMBIN($C$1,I88)</f>
        <v>1.1857707509881424E-3</v>
      </c>
      <c r="J89" s="17">
        <f>COMBIN($C$88,J88)/COMBIN($C$1,J88)</f>
        <v>2.4963594757645096E-4</v>
      </c>
      <c r="K89" s="17">
        <f>COMBIN($C$88,K88)/COMBIN($C$1,K88)</f>
        <v>4.1605991262741838E-5</v>
      </c>
      <c r="L89" s="17">
        <f>COMBIN($C$88,L88)/COMBIN($C$1,L88)</f>
        <v>4.8948225014990391E-6</v>
      </c>
      <c r="M89" s="17">
        <f>COMBIN($C$88,M88)/COMBIN($C$1,M88)</f>
        <v>3.0592640634369E-7</v>
      </c>
      <c r="N89" s="4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3" customFormat="1" x14ac:dyDescent="0.2">
      <c r="C90" s="11" t="s">
        <v>6</v>
      </c>
      <c r="D90" s="5">
        <f>1/D89</f>
        <v>2.5</v>
      </c>
      <c r="E90" s="13">
        <f t="shared" ref="E90:M90" si="45">1/E89</f>
        <v>6.666666666666667</v>
      </c>
      <c r="F90" s="13">
        <f t="shared" si="45"/>
        <v>19.166666666666668</v>
      </c>
      <c r="G90" s="13">
        <f t="shared" si="45"/>
        <v>60.238095238095255</v>
      </c>
      <c r="H90" s="13">
        <f t="shared" si="45"/>
        <v>210.83333333333331</v>
      </c>
      <c r="I90" s="13">
        <f t="shared" si="45"/>
        <v>843.33333333333326</v>
      </c>
      <c r="J90" s="13">
        <f t="shared" si="45"/>
        <v>4005.8333333333339</v>
      </c>
      <c r="K90" s="13">
        <f t="shared" si="45"/>
        <v>24035</v>
      </c>
      <c r="L90" s="13">
        <f t="shared" si="45"/>
        <v>204297.5</v>
      </c>
      <c r="M90" s="13">
        <f t="shared" si="45"/>
        <v>3268759.9999999995</v>
      </c>
      <c r="N90" s="6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3" customFormat="1" ht="16" thickBot="1" x14ac:dyDescent="0.25">
      <c r="C91" s="12" t="s">
        <v>8</v>
      </c>
      <c r="D91" s="7">
        <f>$F$1*D90</f>
        <v>2.375</v>
      </c>
      <c r="E91" s="18">
        <f t="shared" ref="E91:M91" si="46">$F$1*E90</f>
        <v>6.333333333333333</v>
      </c>
      <c r="F91" s="18">
        <f t="shared" si="46"/>
        <v>18.208333333333332</v>
      </c>
      <c r="G91" s="18">
        <f t="shared" si="46"/>
        <v>57.226190476190489</v>
      </c>
      <c r="H91" s="18">
        <f t="shared" si="46"/>
        <v>200.29166666666663</v>
      </c>
      <c r="I91" s="18">
        <f t="shared" si="46"/>
        <v>801.16666666666652</v>
      </c>
      <c r="J91" s="18">
        <f t="shared" si="46"/>
        <v>3805.541666666667</v>
      </c>
      <c r="K91" s="18">
        <f t="shared" si="46"/>
        <v>22833.25</v>
      </c>
      <c r="L91" s="18">
        <f t="shared" si="46"/>
        <v>194082.625</v>
      </c>
      <c r="M91" s="18">
        <f t="shared" si="46"/>
        <v>3105321.9999999995</v>
      </c>
      <c r="N91" s="8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3" customFormat="1" ht="16" thickBot="1" x14ac:dyDescent="0.25">
      <c r="A93" s="3" t="s">
        <v>29</v>
      </c>
      <c r="B93" s="14" t="s">
        <v>2</v>
      </c>
      <c r="C93" s="9" t="s">
        <v>3</v>
      </c>
      <c r="D93" s="55" t="s">
        <v>5</v>
      </c>
      <c r="E93" s="56"/>
      <c r="F93" s="56"/>
      <c r="G93" s="56"/>
      <c r="H93" s="56"/>
      <c r="I93" s="56"/>
      <c r="J93" s="56"/>
      <c r="K93" s="56"/>
      <c r="L93" s="56"/>
      <c r="M93" s="57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3" customFormat="1" ht="16" thickBot="1" x14ac:dyDescent="0.25">
      <c r="A94" s="7"/>
      <c r="B94" s="9">
        <v>16</v>
      </c>
      <c r="C94" s="6">
        <f>$C$1-B94</f>
        <v>9</v>
      </c>
      <c r="D94" s="14">
        <v>1</v>
      </c>
      <c r="E94" s="15">
        <f>D94+1</f>
        <v>2</v>
      </c>
      <c r="F94" s="15">
        <f t="shared" ref="F94:M94" si="47">E94+1</f>
        <v>3</v>
      </c>
      <c r="G94" s="15">
        <f t="shared" si="47"/>
        <v>4</v>
      </c>
      <c r="H94" s="15">
        <f t="shared" si="47"/>
        <v>5</v>
      </c>
      <c r="I94" s="15">
        <f t="shared" si="47"/>
        <v>6</v>
      </c>
      <c r="J94" s="15">
        <f t="shared" si="47"/>
        <v>7</v>
      </c>
      <c r="K94" s="15">
        <f t="shared" si="47"/>
        <v>8</v>
      </c>
      <c r="L94" s="15">
        <f t="shared" si="47"/>
        <v>9</v>
      </c>
      <c r="M94" s="16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3" customFormat="1" x14ac:dyDescent="0.2">
      <c r="C95" s="10" t="s">
        <v>1</v>
      </c>
      <c r="D95" s="3">
        <f>COMBIN($C$94,D94)/COMBIN($C$1,D94)</f>
        <v>0.36</v>
      </c>
      <c r="E95" s="17">
        <f>COMBIN($C$94,E94)/COMBIN($C$1,E94)</f>
        <v>0.12</v>
      </c>
      <c r="F95" s="17">
        <f>COMBIN($C$94,F94)/COMBIN($C$1,F94)</f>
        <v>3.6521739130434779E-2</v>
      </c>
      <c r="G95" s="17">
        <f>COMBIN($C$94,G94)/COMBIN($C$1,G94)</f>
        <v>9.9604743083003943E-3</v>
      </c>
      <c r="H95" s="17">
        <f>COMBIN($C$94,H94)/COMBIN($C$1,H94)</f>
        <v>2.3715415019762848E-3</v>
      </c>
      <c r="I95" s="17">
        <f>COMBIN($C$94,I94)/COMBIN($C$1,I94)</f>
        <v>4.743083003952569E-4</v>
      </c>
      <c r="J95" s="17">
        <f>COMBIN($C$94,J94)/COMBIN($C$1,J94)</f>
        <v>7.4890784272935287E-5</v>
      </c>
      <c r="K95" s="17">
        <f>COMBIN($C$94,K94)/COMBIN($C$1,K94)</f>
        <v>8.3211982525483675E-6</v>
      </c>
      <c r="L95" s="17">
        <f>COMBIN($C$94,L94)/COMBIN($C$1,L94)</f>
        <v>4.8948225014990389E-7</v>
      </c>
      <c r="M95" s="4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3" customFormat="1" x14ac:dyDescent="0.2">
      <c r="C96" s="11" t="s">
        <v>6</v>
      </c>
      <c r="D96" s="39">
        <f>1/D95</f>
        <v>2.7777777777777777</v>
      </c>
      <c r="E96" s="29">
        <f t="shared" ref="E96:L96" si="48">1/E95</f>
        <v>8.3333333333333339</v>
      </c>
      <c r="F96" s="29">
        <f t="shared" si="48"/>
        <v>27.380952380952383</v>
      </c>
      <c r="G96" s="29">
        <f t="shared" si="48"/>
        <v>100.39682539682541</v>
      </c>
      <c r="H96" s="29">
        <f t="shared" si="48"/>
        <v>421.66666666666663</v>
      </c>
      <c r="I96" s="29">
        <f t="shared" si="48"/>
        <v>2108.3333333333335</v>
      </c>
      <c r="J96" s="29">
        <f t="shared" si="48"/>
        <v>13352.777777777781</v>
      </c>
      <c r="K96" s="29">
        <f t="shared" si="48"/>
        <v>120174.99999999999</v>
      </c>
      <c r="L96" s="29">
        <f t="shared" si="48"/>
        <v>2042975.0000000002</v>
      </c>
      <c r="M96" s="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3" customFormat="1" ht="16" thickBot="1" x14ac:dyDescent="0.25">
      <c r="C97" s="12" t="s">
        <v>8</v>
      </c>
      <c r="D97" s="7">
        <f>$F$1*D96</f>
        <v>2.6388888888888888</v>
      </c>
      <c r="E97" s="18">
        <f t="shared" ref="E97:L97" si="49">$F$1*E96</f>
        <v>7.916666666666667</v>
      </c>
      <c r="F97" s="18">
        <f t="shared" si="49"/>
        <v>26.011904761904763</v>
      </c>
      <c r="G97" s="18">
        <f t="shared" si="49"/>
        <v>95.376984126984127</v>
      </c>
      <c r="H97" s="18">
        <f t="shared" si="49"/>
        <v>400.58333333333326</v>
      </c>
      <c r="I97" s="18">
        <f t="shared" si="49"/>
        <v>2002.9166666666667</v>
      </c>
      <c r="J97" s="18">
        <f t="shared" si="49"/>
        <v>12685.138888888891</v>
      </c>
      <c r="K97" s="18">
        <f t="shared" si="49"/>
        <v>114166.24999999999</v>
      </c>
      <c r="L97" s="18">
        <f t="shared" si="49"/>
        <v>1940826.2500000002</v>
      </c>
      <c r="M97" s="8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3" customFormat="1" ht="16" thickBot="1" x14ac:dyDescent="0.25">
      <c r="A99" s="3" t="s">
        <v>30</v>
      </c>
      <c r="B99" s="14" t="s">
        <v>2</v>
      </c>
      <c r="C99" s="9" t="s">
        <v>3</v>
      </c>
      <c r="D99" s="55" t="s">
        <v>5</v>
      </c>
      <c r="E99" s="56"/>
      <c r="F99" s="56"/>
      <c r="G99" s="56"/>
      <c r="H99" s="56"/>
      <c r="I99" s="56"/>
      <c r="J99" s="56"/>
      <c r="K99" s="56"/>
      <c r="L99" s="57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3" customFormat="1" ht="16" thickBot="1" x14ac:dyDescent="0.25">
      <c r="A100" s="7"/>
      <c r="B100" s="9">
        <v>17</v>
      </c>
      <c r="C100" s="6">
        <f>$C$1-B100</f>
        <v>8</v>
      </c>
      <c r="D100" s="14">
        <v>1</v>
      </c>
      <c r="E100" s="15">
        <f>D100+1</f>
        <v>2</v>
      </c>
      <c r="F100" s="15">
        <f t="shared" ref="F100:L100" si="50">E100+1</f>
        <v>3</v>
      </c>
      <c r="G100" s="15">
        <f t="shared" si="50"/>
        <v>4</v>
      </c>
      <c r="H100" s="15">
        <f t="shared" si="50"/>
        <v>5</v>
      </c>
      <c r="I100" s="15">
        <f t="shared" si="50"/>
        <v>6</v>
      </c>
      <c r="J100" s="15">
        <f t="shared" si="50"/>
        <v>7</v>
      </c>
      <c r="K100" s="15">
        <f t="shared" si="50"/>
        <v>8</v>
      </c>
      <c r="L100" s="16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3" customFormat="1" x14ac:dyDescent="0.2">
      <c r="C101" s="10" t="s">
        <v>1</v>
      </c>
      <c r="D101" s="3">
        <f>COMBIN($C$100,D100)/COMBIN($C$1,D100)</f>
        <v>0.32</v>
      </c>
      <c r="E101" s="17">
        <f>COMBIN($C$100,E100)/COMBIN($C$1,E100)</f>
        <v>9.3333333333333338E-2</v>
      </c>
      <c r="F101" s="17">
        <f>COMBIN($C$100,F100)/COMBIN($C$1,F100)</f>
        <v>2.4347826086956521E-2</v>
      </c>
      <c r="G101" s="17">
        <f>COMBIN($C$100,G100)/COMBIN($C$1,G100)</f>
        <v>5.5335968379446633E-3</v>
      </c>
      <c r="H101" s="17">
        <f>COMBIN($C$100,H100)/COMBIN($C$1,H100)</f>
        <v>1.0540184453227933E-3</v>
      </c>
      <c r="I101" s="17">
        <f>COMBIN($C$100,I100)/COMBIN($C$1,I100)</f>
        <v>1.58102766798419E-4</v>
      </c>
      <c r="J101" s="17">
        <f>COMBIN($C$100,J100)/COMBIN($C$1,J100)</f>
        <v>1.6642396505096728E-5</v>
      </c>
      <c r="K101" s="17">
        <f>COMBIN($C$100,K100)/COMBIN($C$1,K100)</f>
        <v>9.245775836164852E-7</v>
      </c>
      <c r="L101" s="4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3" customFormat="1" x14ac:dyDescent="0.2">
      <c r="C102" s="11" t="s">
        <v>6</v>
      </c>
      <c r="D102" s="5">
        <f>1/D101</f>
        <v>3.125</v>
      </c>
      <c r="E102" s="13">
        <f t="shared" ref="E102:K102" si="51">1/E101</f>
        <v>10.714285714285714</v>
      </c>
      <c r="F102" s="13">
        <f t="shared" si="51"/>
        <v>41.071428571428569</v>
      </c>
      <c r="G102" s="13">
        <f t="shared" si="51"/>
        <v>180.71428571428575</v>
      </c>
      <c r="H102" s="13">
        <f t="shared" si="51"/>
        <v>948.74999999999989</v>
      </c>
      <c r="I102" s="13">
        <f t="shared" si="51"/>
        <v>6324.9999999999991</v>
      </c>
      <c r="J102" s="13">
        <f t="shared" si="51"/>
        <v>60087.500000000022</v>
      </c>
      <c r="K102" s="13">
        <f t="shared" si="51"/>
        <v>1081575</v>
      </c>
      <c r="L102" s="6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3" customFormat="1" ht="16" thickBot="1" x14ac:dyDescent="0.25">
      <c r="C103" s="12" t="s">
        <v>8</v>
      </c>
      <c r="D103" s="7">
        <f>$F$1*D102</f>
        <v>2.96875</v>
      </c>
      <c r="E103" s="18">
        <f t="shared" ref="E103:K103" si="52">$F$1*E102</f>
        <v>10.178571428571427</v>
      </c>
      <c r="F103" s="18">
        <f t="shared" si="52"/>
        <v>39.017857142857139</v>
      </c>
      <c r="G103" s="18">
        <f t="shared" si="52"/>
        <v>171.67857142857144</v>
      </c>
      <c r="H103" s="18">
        <f t="shared" si="52"/>
        <v>901.31249999999989</v>
      </c>
      <c r="I103" s="18">
        <f t="shared" si="52"/>
        <v>6008.7499999999991</v>
      </c>
      <c r="J103" s="18">
        <f t="shared" si="52"/>
        <v>57083.125000000015</v>
      </c>
      <c r="K103" s="18">
        <f t="shared" si="52"/>
        <v>1027496.25</v>
      </c>
      <c r="L103" s="8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3" customFormat="1" ht="16" thickBot="1" x14ac:dyDescent="0.25">
      <c r="A105" s="3" t="s">
        <v>31</v>
      </c>
      <c r="B105" s="14" t="s">
        <v>2</v>
      </c>
      <c r="C105" s="9" t="s">
        <v>3</v>
      </c>
      <c r="D105" s="55" t="s">
        <v>5</v>
      </c>
      <c r="E105" s="56"/>
      <c r="F105" s="56"/>
      <c r="G105" s="56"/>
      <c r="H105" s="56"/>
      <c r="I105" s="56"/>
      <c r="J105" s="56"/>
      <c r="K105" s="57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3" customFormat="1" ht="16" thickBot="1" x14ac:dyDescent="0.25">
      <c r="A106" s="7"/>
      <c r="B106" s="9">
        <v>18</v>
      </c>
      <c r="C106" s="6">
        <f>$C$1-B106</f>
        <v>7</v>
      </c>
      <c r="D106" s="14">
        <v>1</v>
      </c>
      <c r="E106" s="15">
        <f>D106+1</f>
        <v>2</v>
      </c>
      <c r="F106" s="15">
        <f t="shared" ref="F106:K106" si="53">E106+1</f>
        <v>3</v>
      </c>
      <c r="G106" s="15">
        <f t="shared" si="53"/>
        <v>4</v>
      </c>
      <c r="H106" s="15">
        <f t="shared" si="53"/>
        <v>5</v>
      </c>
      <c r="I106" s="15">
        <f t="shared" si="53"/>
        <v>6</v>
      </c>
      <c r="J106" s="15">
        <f t="shared" si="53"/>
        <v>7</v>
      </c>
      <c r="K106" s="16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3" customFormat="1" x14ac:dyDescent="0.2">
      <c r="C107" s="10" t="s">
        <v>1</v>
      </c>
      <c r="D107" s="3">
        <f>COMBIN($C$106,D106)/COMBIN($C$1,D106)</f>
        <v>0.28000000000000003</v>
      </c>
      <c r="E107" s="17">
        <f>COMBIN($C$106,E106)/COMBIN($C$1,E106)</f>
        <v>7.0000000000000007E-2</v>
      </c>
      <c r="F107" s="23">
        <f>COMBIN($C$106,F106)/COMBIN($C$1,F106)</f>
        <v>1.5217391304347827E-2</v>
      </c>
      <c r="G107" s="23">
        <f>COMBIN($C$106,G106)/COMBIN($C$1,G106)</f>
        <v>2.7667984189723317E-3</v>
      </c>
      <c r="H107" s="23">
        <f>COMBIN($C$106,H106)/COMBIN($C$1,H106)</f>
        <v>3.9525691699604748E-4</v>
      </c>
      <c r="I107" s="17">
        <f>COMBIN($C$106,I106)/COMBIN($C$1,I106)</f>
        <v>3.9525691699604751E-5</v>
      </c>
      <c r="J107" s="17">
        <f>COMBIN($C$106,J106)/COMBIN($C$1,J106)</f>
        <v>2.080299563137091E-6</v>
      </c>
      <c r="K107" s="4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3" customFormat="1" x14ac:dyDescent="0.2">
      <c r="C108" s="11" t="s">
        <v>6</v>
      </c>
      <c r="D108" s="36">
        <f>1/D107</f>
        <v>3.5714285714285712</v>
      </c>
      <c r="E108" s="30">
        <f t="shared" ref="E108:J108" si="54">1/E107</f>
        <v>14.285714285714285</v>
      </c>
      <c r="F108" s="30">
        <f t="shared" si="54"/>
        <v>65.714285714285708</v>
      </c>
      <c r="G108" s="30">
        <f t="shared" si="54"/>
        <v>361.4285714285715</v>
      </c>
      <c r="H108" s="30">
        <f t="shared" si="54"/>
        <v>2529.9999999999995</v>
      </c>
      <c r="I108" s="40">
        <f t="shared" si="54"/>
        <v>25299.999999999996</v>
      </c>
      <c r="J108" s="40">
        <f t="shared" si="54"/>
        <v>480700.00000000017</v>
      </c>
      <c r="K108" s="6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3" customFormat="1" ht="16" thickBot="1" x14ac:dyDescent="0.25">
      <c r="C109" s="12" t="s">
        <v>8</v>
      </c>
      <c r="D109" s="32">
        <f>$F$1*D108</f>
        <v>3.3928571428571423</v>
      </c>
      <c r="E109" s="31">
        <f t="shared" ref="E109:J109" si="55">$F$1*E108</f>
        <v>13.571428571428569</v>
      </c>
      <c r="F109" s="31">
        <f t="shared" si="55"/>
        <v>62.428571428571416</v>
      </c>
      <c r="G109" s="31">
        <f t="shared" si="55"/>
        <v>343.35714285714289</v>
      </c>
      <c r="H109" s="31">
        <f t="shared" si="55"/>
        <v>2403.4999999999995</v>
      </c>
      <c r="I109" s="33">
        <f t="shared" si="55"/>
        <v>24034.999999999996</v>
      </c>
      <c r="J109" s="33">
        <f t="shared" si="55"/>
        <v>456665.00000000012</v>
      </c>
      <c r="K109" s="8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3" customFormat="1" ht="16" thickBot="1" x14ac:dyDescent="0.25">
      <c r="A111" s="3" t="s">
        <v>32</v>
      </c>
      <c r="B111" s="14" t="s">
        <v>2</v>
      </c>
      <c r="C111" s="9" t="s">
        <v>3</v>
      </c>
      <c r="D111" s="55" t="s">
        <v>5</v>
      </c>
      <c r="E111" s="56"/>
      <c r="F111" s="56"/>
      <c r="G111" s="56"/>
      <c r="H111" s="56"/>
      <c r="I111" s="56"/>
      <c r="J111" s="57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3" customFormat="1" ht="16" thickBot="1" x14ac:dyDescent="0.25">
      <c r="A112" s="7"/>
      <c r="B112" s="9">
        <v>19</v>
      </c>
      <c r="C112" s="6">
        <f>$C$1-B112</f>
        <v>6</v>
      </c>
      <c r="D112" s="14">
        <v>1</v>
      </c>
      <c r="E112" s="15">
        <f>D112+1</f>
        <v>2</v>
      </c>
      <c r="F112" s="15">
        <f t="shared" ref="F112:J112" si="56">E112+1</f>
        <v>3</v>
      </c>
      <c r="G112" s="15">
        <f t="shared" si="56"/>
        <v>4</v>
      </c>
      <c r="H112" s="15">
        <f t="shared" si="56"/>
        <v>5</v>
      </c>
      <c r="I112" s="15">
        <f t="shared" si="56"/>
        <v>6</v>
      </c>
      <c r="J112" s="16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3" customFormat="1" x14ac:dyDescent="0.2">
      <c r="C113" s="10" t="s">
        <v>1</v>
      </c>
      <c r="D113" s="3">
        <f>COMBIN($C$112,D112)/COMBIN($C$1,D112)</f>
        <v>0.24</v>
      </c>
      <c r="E113" s="17">
        <f>COMBIN($C$112,E112)/COMBIN($C$1,E112)</f>
        <v>0.05</v>
      </c>
      <c r="F113" s="23">
        <f>COMBIN($C$112,F112)/COMBIN($C$1,F112)</f>
        <v>8.6956521739130436E-3</v>
      </c>
      <c r="G113" s="23">
        <f>COMBIN($C$112,G112)/COMBIN($C$1,G112)</f>
        <v>1.1857707509881422E-3</v>
      </c>
      <c r="H113" s="23">
        <f>COMBIN($C$112,H112)/COMBIN($C$1,H112)</f>
        <v>1.1293054771315642E-4</v>
      </c>
      <c r="I113" s="17">
        <f>COMBIN($C$112,I112)/COMBIN($C$1,I112)</f>
        <v>5.6465273856578217E-6</v>
      </c>
      <c r="J113" s="4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3" customFormat="1" x14ac:dyDescent="0.2">
      <c r="C114" s="11" t="s">
        <v>6</v>
      </c>
      <c r="D114" s="38">
        <f>1/D113</f>
        <v>4.166666666666667</v>
      </c>
      <c r="E114" s="40">
        <f t="shared" ref="E114:I114" si="57">1/E113</f>
        <v>20</v>
      </c>
      <c r="F114" s="13">
        <f t="shared" si="57"/>
        <v>115</v>
      </c>
      <c r="G114" s="13">
        <f t="shared" si="57"/>
        <v>843.33333333333337</v>
      </c>
      <c r="H114" s="13">
        <f t="shared" si="57"/>
        <v>8854.9999999999982</v>
      </c>
      <c r="I114" s="13">
        <f t="shared" si="57"/>
        <v>177099.99999999997</v>
      </c>
      <c r="J114" s="6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3" customFormat="1" ht="16" thickBot="1" x14ac:dyDescent="0.25">
      <c r="C115" s="12" t="s">
        <v>8</v>
      </c>
      <c r="D115" s="7">
        <f>$F$1*D114</f>
        <v>3.9583333333333335</v>
      </c>
      <c r="E115" s="18">
        <f t="shared" ref="E115:I115" si="58">$F$1*E114</f>
        <v>19</v>
      </c>
      <c r="F115" s="18">
        <f t="shared" si="58"/>
        <v>109.25</v>
      </c>
      <c r="G115" s="18">
        <f t="shared" si="58"/>
        <v>801.16666666666663</v>
      </c>
      <c r="H115" s="18">
        <f t="shared" si="58"/>
        <v>8412.2499999999982</v>
      </c>
      <c r="I115" s="18">
        <f t="shared" si="58"/>
        <v>168244.99999999997</v>
      </c>
      <c r="J115" s="8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3" customFormat="1" ht="16" thickBot="1" x14ac:dyDescent="0.25">
      <c r="A117" s="3" t="s">
        <v>33</v>
      </c>
      <c r="B117" s="14" t="s">
        <v>2</v>
      </c>
      <c r="C117" s="9" t="s">
        <v>3</v>
      </c>
      <c r="D117" s="55" t="s">
        <v>5</v>
      </c>
      <c r="E117" s="56"/>
      <c r="F117" s="56"/>
      <c r="G117" s="56"/>
      <c r="H117" s="56"/>
      <c r="I117" s="5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3" customFormat="1" ht="16" thickBot="1" x14ac:dyDescent="0.25">
      <c r="A118" s="7"/>
      <c r="B118" s="9">
        <v>20</v>
      </c>
      <c r="C118" s="6">
        <f>$C$1-B118</f>
        <v>5</v>
      </c>
      <c r="D118" s="14">
        <v>1</v>
      </c>
      <c r="E118" s="15">
        <f>D118+1</f>
        <v>2</v>
      </c>
      <c r="F118" s="15">
        <f t="shared" ref="F118:I118" si="59">E118+1</f>
        <v>3</v>
      </c>
      <c r="G118" s="15">
        <f t="shared" si="59"/>
        <v>4</v>
      </c>
      <c r="H118" s="15">
        <f t="shared" si="59"/>
        <v>5</v>
      </c>
      <c r="I118" s="16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3" customFormat="1" x14ac:dyDescent="0.2">
      <c r="C119" s="10" t="s">
        <v>1</v>
      </c>
      <c r="D119" s="51">
        <f>COMBIN($C$118,D118)/COMBIN($C$1,D118)</f>
        <v>0.2</v>
      </c>
      <c r="E119" s="17">
        <f>COMBIN($C$118,E118)/COMBIN($C$1,E118)</f>
        <v>3.3333333333333333E-2</v>
      </c>
      <c r="F119" s="17">
        <f>COMBIN($C$118,F118)/COMBIN($C$1,F118)</f>
        <v>4.3478260869565218E-3</v>
      </c>
      <c r="G119" s="17">
        <f>COMBIN($C$118,G118)/COMBIN($C$1,G118)</f>
        <v>3.9525691699604737E-4</v>
      </c>
      <c r="H119" s="17">
        <f>COMBIN($C$118,H118)/COMBIN($C$1,H118)</f>
        <v>1.8821757952192737E-5</v>
      </c>
      <c r="I119" s="4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3" customFormat="1" x14ac:dyDescent="0.2">
      <c r="C120" s="11" t="s">
        <v>6</v>
      </c>
      <c r="D120" s="5">
        <f>1/D119</f>
        <v>5</v>
      </c>
      <c r="E120" s="13">
        <f t="shared" ref="E120:H120" si="60">1/E119</f>
        <v>30</v>
      </c>
      <c r="F120" s="13">
        <f t="shared" si="60"/>
        <v>230</v>
      </c>
      <c r="G120" s="13">
        <f t="shared" si="60"/>
        <v>2530.0000000000005</v>
      </c>
      <c r="H120" s="13">
        <f t="shared" si="60"/>
        <v>53129.999999999993</v>
      </c>
      <c r="I120" s="6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3" customFormat="1" ht="16" thickBot="1" x14ac:dyDescent="0.25">
      <c r="C121" s="12" t="s">
        <v>8</v>
      </c>
      <c r="D121" s="7">
        <f>$F$1*D120</f>
        <v>4.75</v>
      </c>
      <c r="E121" s="18">
        <f t="shared" ref="E121:H121" si="61">$F$1*E120</f>
        <v>28.5</v>
      </c>
      <c r="F121" s="18">
        <f t="shared" si="61"/>
        <v>218.5</v>
      </c>
      <c r="G121" s="18">
        <f t="shared" si="61"/>
        <v>2403.5000000000005</v>
      </c>
      <c r="H121" s="18">
        <f t="shared" si="61"/>
        <v>50473.499999999993</v>
      </c>
      <c r="I121" s="8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3" customFormat="1" ht="16" thickBot="1" x14ac:dyDescent="0.25">
      <c r="A123" s="3" t="s">
        <v>34</v>
      </c>
      <c r="B123" s="14" t="s">
        <v>2</v>
      </c>
      <c r="C123" s="9" t="s">
        <v>3</v>
      </c>
      <c r="D123" s="55" t="s">
        <v>5</v>
      </c>
      <c r="E123" s="56"/>
      <c r="F123" s="56"/>
      <c r="G123" s="56"/>
      <c r="H123" s="57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3" customFormat="1" ht="16" thickBot="1" x14ac:dyDescent="0.25">
      <c r="A124" s="7"/>
      <c r="B124" s="9">
        <v>21</v>
      </c>
      <c r="C124" s="6">
        <f>$C$1-B124</f>
        <v>4</v>
      </c>
      <c r="D124" s="14">
        <v>1</v>
      </c>
      <c r="E124" s="15">
        <f>D124+1</f>
        <v>2</v>
      </c>
      <c r="F124" s="15">
        <f t="shared" ref="F124:H124" si="62">E124+1</f>
        <v>3</v>
      </c>
      <c r="G124" s="15">
        <f t="shared" si="62"/>
        <v>4</v>
      </c>
      <c r="H124" s="16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3" customFormat="1" x14ac:dyDescent="0.2">
      <c r="C125" s="10" t="s">
        <v>1</v>
      </c>
      <c r="D125" s="3">
        <f>COMBIN($C$124,D124)/COMBIN($C$1,D124)</f>
        <v>0.16</v>
      </c>
      <c r="E125" s="17">
        <f>COMBIN($C$124,E124)/COMBIN($C$1,E124)</f>
        <v>0.02</v>
      </c>
      <c r="F125" s="17">
        <f>COMBIN($C$124,F124)/COMBIN($C$1,F124)</f>
        <v>1.7391304347826088E-3</v>
      </c>
      <c r="G125" s="17">
        <f>COMBIN($C$124,G124)/COMBIN($C$1,G124)</f>
        <v>7.9051383399209474E-5</v>
      </c>
      <c r="H125" s="4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3" customFormat="1" x14ac:dyDescent="0.2">
      <c r="C126" s="11" t="s">
        <v>6</v>
      </c>
      <c r="D126" s="5">
        <f>1/D125</f>
        <v>6.25</v>
      </c>
      <c r="E126" s="13">
        <f t="shared" ref="E126:G126" si="63">1/E125</f>
        <v>50</v>
      </c>
      <c r="F126" s="13">
        <f t="shared" si="63"/>
        <v>575</v>
      </c>
      <c r="G126" s="13">
        <f t="shared" si="63"/>
        <v>12650.000000000002</v>
      </c>
      <c r="H126" s="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3" customFormat="1" ht="16" thickBot="1" x14ac:dyDescent="0.25">
      <c r="C127" s="12" t="s">
        <v>8</v>
      </c>
      <c r="D127" s="7">
        <f>$F$1*D126</f>
        <v>5.9375</v>
      </c>
      <c r="E127" s="18">
        <f t="shared" ref="E127:G127" si="64">$F$1*E126</f>
        <v>47.5</v>
      </c>
      <c r="F127" s="18">
        <f t="shared" si="64"/>
        <v>546.25</v>
      </c>
      <c r="G127" s="18">
        <f t="shared" si="64"/>
        <v>12017.500000000002</v>
      </c>
      <c r="H127" s="8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3" customFormat="1" ht="16" thickBot="1" x14ac:dyDescent="0.25">
      <c r="A129" s="3" t="s">
        <v>35</v>
      </c>
      <c r="B129" s="14" t="s">
        <v>2</v>
      </c>
      <c r="C129" s="9" t="s">
        <v>3</v>
      </c>
      <c r="D129" s="55" t="s">
        <v>5</v>
      </c>
      <c r="E129" s="56"/>
      <c r="F129" s="56"/>
      <c r="G129" s="57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3" customFormat="1" ht="16" thickBot="1" x14ac:dyDescent="0.25">
      <c r="A130" s="7"/>
      <c r="B130" s="9">
        <v>22</v>
      </c>
      <c r="C130" s="6">
        <f>$C$1-B130</f>
        <v>3</v>
      </c>
      <c r="D130" s="14">
        <v>1</v>
      </c>
      <c r="E130" s="15">
        <f>D130+1</f>
        <v>2</v>
      </c>
      <c r="F130" s="15">
        <f t="shared" ref="F130:G130" si="65">E130+1</f>
        <v>3</v>
      </c>
      <c r="G130" s="16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3" customFormat="1" x14ac:dyDescent="0.2">
      <c r="C131" s="10" t="s">
        <v>1</v>
      </c>
      <c r="D131" s="3">
        <f>COMBIN($C$130,D130)/COMBIN($C$1,D130)</f>
        <v>0.12</v>
      </c>
      <c r="E131" s="17">
        <f>COMBIN($C$130,E130)/COMBIN($C$1,E130)</f>
        <v>0.01</v>
      </c>
      <c r="F131" s="17">
        <f>COMBIN($C$130,F130)/COMBIN($C$1,F130)</f>
        <v>4.3478260869565219E-4</v>
      </c>
      <c r="G131" s="4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3" customFormat="1" x14ac:dyDescent="0.2">
      <c r="C132" s="11" t="s">
        <v>6</v>
      </c>
      <c r="D132" s="5">
        <f>1/D131</f>
        <v>8.3333333333333339</v>
      </c>
      <c r="E132" s="13">
        <f t="shared" ref="E132:F132" si="66">1/E131</f>
        <v>100</v>
      </c>
      <c r="F132" s="13">
        <f t="shared" si="66"/>
        <v>2300</v>
      </c>
      <c r="G132" s="6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3" customFormat="1" ht="16" thickBot="1" x14ac:dyDescent="0.25">
      <c r="C133" s="12" t="s">
        <v>8</v>
      </c>
      <c r="D133" s="7">
        <f>$F$1*D132</f>
        <v>7.916666666666667</v>
      </c>
      <c r="E133" s="18">
        <f t="shared" ref="E133:F133" si="67">$F$1*E132</f>
        <v>95</v>
      </c>
      <c r="F133" s="18">
        <f t="shared" si="67"/>
        <v>2185</v>
      </c>
      <c r="G133" s="8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3" customFormat="1" ht="16" thickBot="1" x14ac:dyDescent="0.25">
      <c r="A135" s="3" t="s">
        <v>36</v>
      </c>
      <c r="B135" s="14" t="s">
        <v>2</v>
      </c>
      <c r="C135" s="9" t="s">
        <v>3</v>
      </c>
      <c r="D135" s="55" t="s">
        <v>5</v>
      </c>
      <c r="E135" s="56"/>
      <c r="F135" s="57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3" customFormat="1" ht="16" thickBot="1" x14ac:dyDescent="0.25">
      <c r="A136" s="7"/>
      <c r="B136" s="9">
        <v>23</v>
      </c>
      <c r="C136" s="6">
        <f>$C$1-B136</f>
        <v>2</v>
      </c>
      <c r="D136" s="14">
        <v>1</v>
      </c>
      <c r="E136" s="15">
        <f>D136+1</f>
        <v>2</v>
      </c>
      <c r="F136" s="16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3" customFormat="1" x14ac:dyDescent="0.2">
      <c r="C137" s="10" t="s">
        <v>1</v>
      </c>
      <c r="D137" s="3">
        <f>COMBIN($C$136,D136)/COMBIN($C$1,D136)</f>
        <v>0.08</v>
      </c>
      <c r="E137" s="17">
        <f>COMBIN($C$136,E136)/COMBIN($C$1,E136)</f>
        <v>3.3333333333333335E-3</v>
      </c>
      <c r="F137" s="4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3" customFormat="1" x14ac:dyDescent="0.2">
      <c r="C138" s="11" t="s">
        <v>6</v>
      </c>
      <c r="D138" s="5">
        <f>1/D137</f>
        <v>12.5</v>
      </c>
      <c r="E138" s="13">
        <f t="shared" ref="E138" si="69">1/E137</f>
        <v>300</v>
      </c>
      <c r="F138" s="6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3" customFormat="1" ht="16" thickBot="1" x14ac:dyDescent="0.25">
      <c r="C139" s="12" t="s">
        <v>8</v>
      </c>
      <c r="D139" s="7">
        <f>$F$1*D138</f>
        <v>11.875</v>
      </c>
      <c r="E139" s="18">
        <f t="shared" ref="E139" si="70">$F$1*E138</f>
        <v>285</v>
      </c>
      <c r="F139" s="8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3" t="s">
        <v>37</v>
      </c>
      <c r="B141" s="14" t="s">
        <v>2</v>
      </c>
      <c r="C141" s="9" t="s">
        <v>3</v>
      </c>
      <c r="D141" s="1" t="s">
        <v>5</v>
      </c>
      <c r="E141" s="2"/>
    </row>
    <row r="142" spans="1:28" ht="16" thickBot="1" x14ac:dyDescent="0.25">
      <c r="A142" s="7"/>
      <c r="B142" s="9">
        <v>24</v>
      </c>
      <c r="C142" s="6">
        <f>$C$1-B142</f>
        <v>1</v>
      </c>
      <c r="D142" s="14">
        <v>1</v>
      </c>
      <c r="E142" s="16">
        <f>D142+1</f>
        <v>2</v>
      </c>
    </row>
    <row r="143" spans="1:28" x14ac:dyDescent="0.2">
      <c r="A143" s="13"/>
      <c r="B143" s="13"/>
      <c r="C143" s="10" t="s">
        <v>1</v>
      </c>
      <c r="D143" s="3">
        <f>COMBIN($C$142,D142)/COMBIN($C$1,D142)</f>
        <v>0.04</v>
      </c>
      <c r="E143" s="4"/>
    </row>
    <row r="144" spans="1:28" x14ac:dyDescent="0.2">
      <c r="A144" s="13"/>
      <c r="B144" s="13"/>
      <c r="C144" s="11" t="s">
        <v>6</v>
      </c>
      <c r="D144" s="5">
        <f>1/D143</f>
        <v>25</v>
      </c>
      <c r="E144" s="6"/>
    </row>
    <row r="145" spans="1:5" ht="16" thickBot="1" x14ac:dyDescent="0.25">
      <c r="A145" s="13"/>
      <c r="B145" s="13"/>
      <c r="C145" s="12" t="s">
        <v>8</v>
      </c>
      <c r="D145" s="7">
        <f>$F$1*D144</f>
        <v>23.75</v>
      </c>
      <c r="E145" s="8"/>
    </row>
  </sheetData>
  <mergeCells count="23">
    <mergeCell ref="D33:W33"/>
    <mergeCell ref="D3:AB3"/>
    <mergeCell ref="D9:AA9"/>
    <mergeCell ref="D15:Z15"/>
    <mergeCell ref="D21:Y21"/>
    <mergeCell ref="D27:X27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111:J111"/>
    <mergeCell ref="D117:I117"/>
    <mergeCell ref="D123:H123"/>
    <mergeCell ref="D129:G129"/>
    <mergeCell ref="D135:F13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3C97-5CD4-4FE0-872C-319B4B921B5B}">
  <sheetPr codeName="Sheet4"/>
  <dimension ref="A1:AB145"/>
  <sheetViews>
    <sheetView zoomScale="94" zoomScaleNormal="80" workbookViewId="0">
      <selection activeCell="A9" sqref="A9:XFD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4</v>
      </c>
      <c r="C1" s="2">
        <v>25</v>
      </c>
      <c r="E1" s="19" t="s">
        <v>0</v>
      </c>
      <c r="F1" s="20">
        <v>0.97</v>
      </c>
    </row>
    <row r="2" spans="1:28" ht="16" thickBot="1" x14ac:dyDescent="0.25"/>
    <row r="3" spans="1:28" s="13" customFormat="1" ht="16" thickBot="1" x14ac:dyDescent="0.25">
      <c r="A3" s="3" t="s">
        <v>7</v>
      </c>
      <c r="B3" s="14" t="s">
        <v>2</v>
      </c>
      <c r="C3" s="9" t="s">
        <v>3</v>
      </c>
      <c r="D3" s="55" t="s">
        <v>5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7"/>
    </row>
    <row r="4" spans="1:28" s="13" customFormat="1" ht="16" thickBot="1" x14ac:dyDescent="0.25">
      <c r="A4" s="7"/>
      <c r="B4" s="9">
        <v>1</v>
      </c>
      <c r="C4" s="6">
        <f>$C$1-B4</f>
        <v>24</v>
      </c>
      <c r="D4" s="14">
        <v>1</v>
      </c>
      <c r="E4" s="15">
        <f>D4+1</f>
        <v>2</v>
      </c>
      <c r="F4" s="15">
        <f t="shared" ref="F4:AB4" si="0">E4+1</f>
        <v>3</v>
      </c>
      <c r="G4" s="15">
        <f t="shared" si="0"/>
        <v>4</v>
      </c>
      <c r="H4" s="15">
        <f t="shared" si="0"/>
        <v>5</v>
      </c>
      <c r="I4" s="15">
        <f t="shared" si="0"/>
        <v>6</v>
      </c>
      <c r="J4" s="15">
        <f t="shared" si="0"/>
        <v>7</v>
      </c>
      <c r="K4" s="15">
        <f t="shared" si="0"/>
        <v>8</v>
      </c>
      <c r="L4" s="15">
        <f t="shared" si="0"/>
        <v>9</v>
      </c>
      <c r="M4" s="15">
        <f t="shared" si="0"/>
        <v>10</v>
      </c>
      <c r="N4" s="15">
        <f t="shared" si="0"/>
        <v>11</v>
      </c>
      <c r="O4" s="15">
        <f t="shared" si="0"/>
        <v>12</v>
      </c>
      <c r="P4" s="15">
        <f t="shared" si="0"/>
        <v>13</v>
      </c>
      <c r="Q4" s="15">
        <f t="shared" si="0"/>
        <v>14</v>
      </c>
      <c r="R4" s="15">
        <f t="shared" si="0"/>
        <v>15</v>
      </c>
      <c r="S4" s="15">
        <f t="shared" si="0"/>
        <v>16</v>
      </c>
      <c r="T4" s="15">
        <f t="shared" si="0"/>
        <v>17</v>
      </c>
      <c r="U4" s="15">
        <f t="shared" si="0"/>
        <v>18</v>
      </c>
      <c r="V4" s="15">
        <f t="shared" si="0"/>
        <v>19</v>
      </c>
      <c r="W4" s="15">
        <f t="shared" si="0"/>
        <v>20</v>
      </c>
      <c r="X4" s="15">
        <f t="shared" si="0"/>
        <v>21</v>
      </c>
      <c r="Y4" s="15">
        <f t="shared" si="0"/>
        <v>22</v>
      </c>
      <c r="Z4" s="15">
        <f t="shared" si="0"/>
        <v>23</v>
      </c>
      <c r="AA4" s="15">
        <f t="shared" si="0"/>
        <v>24</v>
      </c>
      <c r="AB4" s="16">
        <f t="shared" si="0"/>
        <v>25</v>
      </c>
    </row>
    <row r="5" spans="1:28" s="13" customFormat="1" x14ac:dyDescent="0.2">
      <c r="C5" s="10" t="s">
        <v>1</v>
      </c>
      <c r="D5" s="52">
        <f>COMBIN($C$4,D4)/COMBIN($C$1,D4)</f>
        <v>0.96</v>
      </c>
      <c r="E5" s="26">
        <f t="shared" ref="E5:AA5" si="1">COMBIN($C$4,E4)/COMBIN($C$1,E4)</f>
        <v>0.92</v>
      </c>
      <c r="F5" s="26">
        <f t="shared" si="1"/>
        <v>0.88000000000000012</v>
      </c>
      <c r="G5" s="26">
        <f t="shared" si="1"/>
        <v>0.83999999999999986</v>
      </c>
      <c r="H5" s="26">
        <f t="shared" si="1"/>
        <v>0.79999999999999993</v>
      </c>
      <c r="I5" s="26">
        <f t="shared" si="1"/>
        <v>0.76000000000000034</v>
      </c>
      <c r="J5" s="26">
        <f t="shared" si="1"/>
        <v>0.71999999999999986</v>
      </c>
      <c r="K5" s="26">
        <f t="shared" si="1"/>
        <v>0.68</v>
      </c>
      <c r="L5" s="26">
        <f t="shared" si="1"/>
        <v>0.64</v>
      </c>
      <c r="M5" s="26">
        <f t="shared" si="1"/>
        <v>0.60000000000000009</v>
      </c>
      <c r="N5" s="26">
        <f t="shared" si="1"/>
        <v>0.56000000000000005</v>
      </c>
      <c r="O5" s="26">
        <f t="shared" si="1"/>
        <v>0.52000000000000013</v>
      </c>
      <c r="P5" s="26">
        <f t="shared" si="1"/>
        <v>0.48</v>
      </c>
      <c r="Q5" s="26">
        <f t="shared" si="1"/>
        <v>0.44</v>
      </c>
      <c r="R5" s="26">
        <f t="shared" si="1"/>
        <v>0.40000000000000008</v>
      </c>
      <c r="S5" s="26">
        <f t="shared" si="1"/>
        <v>0.36</v>
      </c>
      <c r="T5" s="26">
        <f t="shared" si="1"/>
        <v>0.32</v>
      </c>
      <c r="U5" s="26">
        <f t="shared" si="1"/>
        <v>0.27999999999999997</v>
      </c>
      <c r="V5" s="26">
        <f t="shared" si="1"/>
        <v>0.24</v>
      </c>
      <c r="W5" s="26">
        <f t="shared" si="1"/>
        <v>0.20000000000000004</v>
      </c>
      <c r="X5" s="26">
        <f t="shared" si="1"/>
        <v>0.16</v>
      </c>
      <c r="Y5" s="26">
        <f t="shared" si="1"/>
        <v>0.12</v>
      </c>
      <c r="Z5" s="26">
        <f t="shared" si="1"/>
        <v>0.08</v>
      </c>
      <c r="AA5" s="26">
        <f t="shared" si="1"/>
        <v>0.04</v>
      </c>
      <c r="AB5" s="4"/>
    </row>
    <row r="6" spans="1:28" s="13" customFormat="1" x14ac:dyDescent="0.2">
      <c r="C6" s="11" t="s">
        <v>6</v>
      </c>
      <c r="D6" s="38">
        <f>1/D5</f>
        <v>1.0416666666666667</v>
      </c>
      <c r="E6" s="27">
        <f t="shared" ref="E6:AA6" si="2">1/E5</f>
        <v>1.0869565217391304</v>
      </c>
      <c r="F6" s="27">
        <f t="shared" si="2"/>
        <v>1.1363636363636362</v>
      </c>
      <c r="G6" s="27">
        <f t="shared" si="2"/>
        <v>1.1904761904761907</v>
      </c>
      <c r="H6" s="27">
        <f t="shared" si="2"/>
        <v>1.25</v>
      </c>
      <c r="I6" s="27">
        <f t="shared" si="2"/>
        <v>1.31578947368421</v>
      </c>
      <c r="J6" s="27">
        <f t="shared" si="2"/>
        <v>1.3888888888888891</v>
      </c>
      <c r="K6" s="27">
        <f t="shared" si="2"/>
        <v>1.4705882352941175</v>
      </c>
      <c r="L6" s="27">
        <f t="shared" si="2"/>
        <v>1.5625</v>
      </c>
      <c r="M6" s="27">
        <f t="shared" si="2"/>
        <v>1.6666666666666665</v>
      </c>
      <c r="N6" s="27">
        <f t="shared" si="2"/>
        <v>1.7857142857142856</v>
      </c>
      <c r="O6" s="27">
        <f t="shared" si="2"/>
        <v>1.9230769230769227</v>
      </c>
      <c r="P6" s="27">
        <f t="shared" si="2"/>
        <v>2.0833333333333335</v>
      </c>
      <c r="Q6" s="27">
        <f t="shared" si="2"/>
        <v>2.2727272727272729</v>
      </c>
      <c r="R6" s="27">
        <f t="shared" si="2"/>
        <v>2.4999999999999996</v>
      </c>
      <c r="S6" s="27">
        <f t="shared" si="2"/>
        <v>2.7777777777777777</v>
      </c>
      <c r="T6" s="27">
        <f t="shared" si="2"/>
        <v>3.125</v>
      </c>
      <c r="U6" s="27">
        <f t="shared" si="2"/>
        <v>3.5714285714285716</v>
      </c>
      <c r="V6" s="27">
        <f t="shared" si="2"/>
        <v>4.166666666666667</v>
      </c>
      <c r="W6" s="27">
        <f t="shared" si="2"/>
        <v>4.9999999999999991</v>
      </c>
      <c r="X6" s="27">
        <f t="shared" si="2"/>
        <v>6.25</v>
      </c>
      <c r="Y6" s="27">
        <f t="shared" si="2"/>
        <v>8.3333333333333339</v>
      </c>
      <c r="Z6" s="27">
        <f t="shared" si="2"/>
        <v>12.5</v>
      </c>
      <c r="AA6" s="27">
        <f t="shared" si="2"/>
        <v>25</v>
      </c>
      <c r="AB6" s="6"/>
    </row>
    <row r="7" spans="1:28" s="13" customFormat="1" ht="16" thickBot="1" x14ac:dyDescent="0.25">
      <c r="C7" s="12" t="s">
        <v>8</v>
      </c>
      <c r="D7" s="35">
        <f>$F$1*D6</f>
        <v>1.0104166666666667</v>
      </c>
      <c r="E7" s="28">
        <f t="shared" ref="E7:AA7" si="3">$F$1*E6</f>
        <v>1.0543478260869565</v>
      </c>
      <c r="F7" s="28">
        <f t="shared" si="3"/>
        <v>1.1022727272727271</v>
      </c>
      <c r="G7" s="28">
        <f t="shared" si="3"/>
        <v>1.1547619047619049</v>
      </c>
      <c r="H7" s="28">
        <f t="shared" si="3"/>
        <v>1.2124999999999999</v>
      </c>
      <c r="I7" s="28">
        <f t="shared" si="3"/>
        <v>1.2763157894736836</v>
      </c>
      <c r="J7" s="28">
        <f t="shared" si="3"/>
        <v>1.3472222222222223</v>
      </c>
      <c r="K7" s="28">
        <f t="shared" si="3"/>
        <v>1.4264705882352939</v>
      </c>
      <c r="L7" s="28">
        <f t="shared" si="3"/>
        <v>1.515625</v>
      </c>
      <c r="M7" s="28">
        <f t="shared" si="3"/>
        <v>1.6166666666666665</v>
      </c>
      <c r="N7" s="28">
        <f t="shared" si="3"/>
        <v>1.732142857142857</v>
      </c>
      <c r="O7" s="28">
        <f t="shared" si="3"/>
        <v>1.865384615384615</v>
      </c>
      <c r="P7" s="28">
        <f t="shared" si="3"/>
        <v>2.0208333333333335</v>
      </c>
      <c r="Q7" s="28">
        <f t="shared" si="3"/>
        <v>2.2045454545454546</v>
      </c>
      <c r="R7" s="28">
        <f t="shared" si="3"/>
        <v>2.4249999999999994</v>
      </c>
      <c r="S7" s="28">
        <f t="shared" si="3"/>
        <v>2.6944444444444442</v>
      </c>
      <c r="T7" s="28">
        <f t="shared" si="3"/>
        <v>3.03125</v>
      </c>
      <c r="U7" s="28">
        <f t="shared" si="3"/>
        <v>3.4642857142857144</v>
      </c>
      <c r="V7" s="28">
        <f t="shared" si="3"/>
        <v>4.041666666666667</v>
      </c>
      <c r="W7" s="28">
        <f t="shared" si="3"/>
        <v>4.8499999999999988</v>
      </c>
      <c r="X7" s="28">
        <f t="shared" si="3"/>
        <v>6.0625</v>
      </c>
      <c r="Y7" s="28">
        <f t="shared" si="3"/>
        <v>8.0833333333333339</v>
      </c>
      <c r="Z7" s="28">
        <f t="shared" si="3"/>
        <v>12.125</v>
      </c>
      <c r="AA7" s="28">
        <f t="shared" si="3"/>
        <v>24.25</v>
      </c>
      <c r="AB7" s="8"/>
    </row>
    <row r="8" spans="1:28" ht="16" thickBot="1" x14ac:dyDescent="0.25"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8" s="13" customFormat="1" ht="16" thickBot="1" x14ac:dyDescent="0.25">
      <c r="A9" s="3" t="s">
        <v>15</v>
      </c>
      <c r="B9" s="14" t="s">
        <v>2</v>
      </c>
      <c r="C9" s="9" t="s">
        <v>3</v>
      </c>
      <c r="D9" s="58" t="s">
        <v>5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  <c r="AB9"/>
    </row>
    <row r="10" spans="1:28" s="13" customFormat="1" ht="16" thickBot="1" x14ac:dyDescent="0.25">
      <c r="A10" s="7"/>
      <c r="B10" s="9">
        <v>2</v>
      </c>
      <c r="C10" s="6">
        <f>$C$1-B10</f>
        <v>23</v>
      </c>
      <c r="D10" s="45">
        <v>1</v>
      </c>
      <c r="E10" s="46">
        <f>D10+1</f>
        <v>2</v>
      </c>
      <c r="F10" s="46">
        <f t="shared" ref="F10:AA10" si="4">E10+1</f>
        <v>3</v>
      </c>
      <c r="G10" s="46">
        <f t="shared" si="4"/>
        <v>4</v>
      </c>
      <c r="H10" s="46">
        <f t="shared" si="4"/>
        <v>5</v>
      </c>
      <c r="I10" s="46">
        <f t="shared" si="4"/>
        <v>6</v>
      </c>
      <c r="J10" s="46">
        <f t="shared" si="4"/>
        <v>7</v>
      </c>
      <c r="K10" s="46">
        <f t="shared" si="4"/>
        <v>8</v>
      </c>
      <c r="L10" s="46">
        <f t="shared" si="4"/>
        <v>9</v>
      </c>
      <c r="M10" s="46">
        <f t="shared" si="4"/>
        <v>10</v>
      </c>
      <c r="N10" s="46">
        <f t="shared" si="4"/>
        <v>11</v>
      </c>
      <c r="O10" s="46">
        <f t="shared" si="4"/>
        <v>12</v>
      </c>
      <c r="P10" s="46">
        <f t="shared" si="4"/>
        <v>13</v>
      </c>
      <c r="Q10" s="46">
        <f t="shared" si="4"/>
        <v>14</v>
      </c>
      <c r="R10" s="46">
        <f t="shared" si="4"/>
        <v>15</v>
      </c>
      <c r="S10" s="46">
        <f t="shared" si="4"/>
        <v>16</v>
      </c>
      <c r="T10" s="46">
        <f t="shared" si="4"/>
        <v>17</v>
      </c>
      <c r="U10" s="46">
        <f t="shared" si="4"/>
        <v>18</v>
      </c>
      <c r="V10" s="46">
        <f t="shared" si="4"/>
        <v>19</v>
      </c>
      <c r="W10" s="46">
        <f t="shared" si="4"/>
        <v>20</v>
      </c>
      <c r="X10" s="46">
        <f t="shared" si="4"/>
        <v>21</v>
      </c>
      <c r="Y10" s="46">
        <f t="shared" si="4"/>
        <v>22</v>
      </c>
      <c r="Z10" s="46">
        <f t="shared" si="4"/>
        <v>23</v>
      </c>
      <c r="AA10" s="47">
        <f t="shared" si="4"/>
        <v>24</v>
      </c>
      <c r="AB10"/>
    </row>
    <row r="11" spans="1:28" s="13" customFormat="1" x14ac:dyDescent="0.2">
      <c r="C11" s="10" t="s">
        <v>1</v>
      </c>
      <c r="D11" s="52">
        <f>COMBIN($C$10,D10)/COMBIN($C$1,D10)</f>
        <v>0.92</v>
      </c>
      <c r="E11" s="26">
        <f>COMBIN($C$10,E10)/COMBIN($C$1,E10)</f>
        <v>0.84333333333333338</v>
      </c>
      <c r="F11" s="26">
        <f>COMBIN($C$10,F10)/COMBIN($C$1,F10)</f>
        <v>0.77</v>
      </c>
      <c r="G11" s="26">
        <f>COMBIN($C$10,G10)/COMBIN($C$1,G10)</f>
        <v>0.69999999999999984</v>
      </c>
      <c r="H11" s="26">
        <f>COMBIN($C$10,H10)/COMBIN($C$1,H10)</f>
        <v>0.63333333333333353</v>
      </c>
      <c r="I11" s="26">
        <f>COMBIN($C$10,I10)/COMBIN($C$1,I10)</f>
        <v>0.57000000000000006</v>
      </c>
      <c r="J11" s="26">
        <f>COMBIN($C$10,J10)/COMBIN($C$1,J10)</f>
        <v>0.5099999999999999</v>
      </c>
      <c r="K11" s="26">
        <f>COMBIN($C$10,K10)/COMBIN($C$1,K10)</f>
        <v>0.45333333333333331</v>
      </c>
      <c r="L11" s="26">
        <f>COMBIN($C$10,L10)/COMBIN($C$1,L10)</f>
        <v>0.4</v>
      </c>
      <c r="M11" s="26">
        <f>COMBIN($C$10,M10)/COMBIN($C$1,M10)</f>
        <v>0.35000000000000014</v>
      </c>
      <c r="N11" s="26">
        <f>COMBIN($C$10,N10)/COMBIN($C$1,N10)</f>
        <v>0.3033333333333334</v>
      </c>
      <c r="O11" s="26">
        <f>COMBIN($C$10,O10)/COMBIN($C$1,O10)</f>
        <v>0.26</v>
      </c>
      <c r="P11" s="26">
        <f>COMBIN($C$10,P10)/COMBIN($C$1,P10)</f>
        <v>0.22</v>
      </c>
      <c r="Q11" s="26">
        <f>COMBIN($C$10,Q10)/COMBIN($C$1,Q10)</f>
        <v>0.18333333333333332</v>
      </c>
      <c r="R11" s="26">
        <f>COMBIN($C$10,R10)/COMBIN($C$1,R10)</f>
        <v>0.15000000000000002</v>
      </c>
      <c r="S11" s="26">
        <f>COMBIN($C$10,S10)/COMBIN($C$1,S10)</f>
        <v>0.12</v>
      </c>
      <c r="T11" s="26">
        <f>COMBIN($C$10,T10)/COMBIN($C$1,T10)</f>
        <v>9.3333333333333338E-2</v>
      </c>
      <c r="U11" s="26">
        <f>COMBIN($C$10,U10)/COMBIN($C$1,U10)</f>
        <v>6.9999999999999993E-2</v>
      </c>
      <c r="V11" s="26">
        <f>COMBIN($C$10,V10)/COMBIN($C$1,V10)</f>
        <v>5.000000000000001E-2</v>
      </c>
      <c r="W11" s="26">
        <f>COMBIN($C$10,W10)/COMBIN($C$1,W10)</f>
        <v>3.333333333333334E-2</v>
      </c>
      <c r="X11" s="26">
        <f>COMBIN($C$10,X10)/COMBIN($C$1,X10)</f>
        <v>1.9999999999999997E-2</v>
      </c>
      <c r="Y11" s="26">
        <f>COMBIN($C$10,Y10)/COMBIN($C$1,Y10)</f>
        <v>0.01</v>
      </c>
      <c r="Z11" s="26">
        <f>COMBIN($C$10,Z10)/COMBIN($C$1,Z10)</f>
        <v>3.3333333333333335E-3</v>
      </c>
      <c r="AA11" s="44"/>
      <c r="AB11"/>
    </row>
    <row r="12" spans="1:28" s="13" customFormat="1" x14ac:dyDescent="0.2">
      <c r="C12" s="11" t="s">
        <v>6</v>
      </c>
      <c r="D12" s="38">
        <f>1/D11</f>
        <v>1.0869565217391304</v>
      </c>
      <c r="E12" s="27">
        <f t="shared" ref="E12:Z12" si="5">1/E11</f>
        <v>1.1857707509881423</v>
      </c>
      <c r="F12" s="27">
        <f t="shared" si="5"/>
        <v>1.2987012987012987</v>
      </c>
      <c r="G12" s="27">
        <f t="shared" si="5"/>
        <v>1.4285714285714288</v>
      </c>
      <c r="H12" s="27">
        <f t="shared" si="5"/>
        <v>1.5789473684210522</v>
      </c>
      <c r="I12" s="27">
        <f t="shared" si="5"/>
        <v>1.7543859649122806</v>
      </c>
      <c r="J12" s="27">
        <f t="shared" si="5"/>
        <v>1.9607843137254906</v>
      </c>
      <c r="K12" s="27">
        <f t="shared" si="5"/>
        <v>2.2058823529411766</v>
      </c>
      <c r="L12" s="27">
        <f t="shared" si="5"/>
        <v>2.5</v>
      </c>
      <c r="M12" s="27">
        <f t="shared" si="5"/>
        <v>2.8571428571428559</v>
      </c>
      <c r="N12" s="27">
        <f t="shared" si="5"/>
        <v>3.2967032967032961</v>
      </c>
      <c r="O12" s="27">
        <f t="shared" si="5"/>
        <v>3.8461538461538458</v>
      </c>
      <c r="P12" s="27">
        <f t="shared" si="5"/>
        <v>4.5454545454545459</v>
      </c>
      <c r="Q12" s="27">
        <f t="shared" si="5"/>
        <v>5.454545454545455</v>
      </c>
      <c r="R12" s="27">
        <f t="shared" si="5"/>
        <v>6.6666666666666661</v>
      </c>
      <c r="S12" s="27">
        <f t="shared" si="5"/>
        <v>8.3333333333333339</v>
      </c>
      <c r="T12" s="27">
        <f t="shared" si="5"/>
        <v>10.714285714285714</v>
      </c>
      <c r="U12" s="27">
        <f t="shared" si="5"/>
        <v>14.285714285714286</v>
      </c>
      <c r="V12" s="27">
        <f t="shared" si="5"/>
        <v>19.999999999999996</v>
      </c>
      <c r="W12" s="27">
        <f t="shared" si="5"/>
        <v>29.999999999999993</v>
      </c>
      <c r="X12" s="27">
        <f t="shared" si="5"/>
        <v>50.000000000000007</v>
      </c>
      <c r="Y12" s="27">
        <f t="shared" si="5"/>
        <v>100</v>
      </c>
      <c r="Z12" s="27">
        <f t="shared" si="5"/>
        <v>300</v>
      </c>
      <c r="AA12" s="42"/>
      <c r="AB12"/>
    </row>
    <row r="13" spans="1:28" s="13" customFormat="1" ht="16" thickBot="1" x14ac:dyDescent="0.25">
      <c r="C13" s="12" t="s">
        <v>8</v>
      </c>
      <c r="D13" s="32">
        <f>$F$1*D12</f>
        <v>1.0543478260869565</v>
      </c>
      <c r="E13" s="31">
        <f t="shared" ref="E13:Z13" si="6">$F$1*E12</f>
        <v>1.150197628458498</v>
      </c>
      <c r="F13" s="31">
        <f t="shared" si="6"/>
        <v>1.2597402597402596</v>
      </c>
      <c r="G13" s="31">
        <f t="shared" si="6"/>
        <v>1.3857142857142859</v>
      </c>
      <c r="H13" s="31">
        <f t="shared" si="6"/>
        <v>1.5315789473684207</v>
      </c>
      <c r="I13" s="31">
        <f t="shared" si="6"/>
        <v>1.7017543859649122</v>
      </c>
      <c r="J13" s="31">
        <f t="shared" si="6"/>
        <v>1.9019607843137258</v>
      </c>
      <c r="K13" s="31">
        <f t="shared" si="6"/>
        <v>2.1397058823529411</v>
      </c>
      <c r="L13" s="31">
        <f t="shared" si="6"/>
        <v>2.4249999999999998</v>
      </c>
      <c r="M13" s="31">
        <f t="shared" si="6"/>
        <v>2.77142857142857</v>
      </c>
      <c r="N13" s="31">
        <f t="shared" si="6"/>
        <v>3.1978021978021971</v>
      </c>
      <c r="O13" s="31">
        <f t="shared" si="6"/>
        <v>3.7307692307692304</v>
      </c>
      <c r="P13" s="31">
        <f t="shared" si="6"/>
        <v>4.4090909090909092</v>
      </c>
      <c r="Q13" s="31">
        <f t="shared" si="6"/>
        <v>5.290909090909091</v>
      </c>
      <c r="R13" s="31">
        <f t="shared" si="6"/>
        <v>6.4666666666666659</v>
      </c>
      <c r="S13" s="31">
        <f t="shared" si="6"/>
        <v>8.0833333333333339</v>
      </c>
      <c r="T13" s="31">
        <f t="shared" si="6"/>
        <v>10.392857142857142</v>
      </c>
      <c r="U13" s="31">
        <f t="shared" si="6"/>
        <v>13.857142857142858</v>
      </c>
      <c r="V13" s="31">
        <f t="shared" si="6"/>
        <v>19.399999999999995</v>
      </c>
      <c r="W13" s="31">
        <f t="shared" si="6"/>
        <v>29.099999999999991</v>
      </c>
      <c r="X13" s="31">
        <f t="shared" si="6"/>
        <v>48.500000000000007</v>
      </c>
      <c r="Y13" s="31">
        <f t="shared" si="6"/>
        <v>97</v>
      </c>
      <c r="Z13" s="31">
        <f t="shared" si="6"/>
        <v>291</v>
      </c>
      <c r="AA13" s="43"/>
      <c r="AB13"/>
    </row>
    <row r="14" spans="1:28" ht="16" thickBot="1" x14ac:dyDescent="0.25"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8" s="13" customFormat="1" ht="16" thickBot="1" x14ac:dyDescent="0.25">
      <c r="A15" s="3" t="s">
        <v>16</v>
      </c>
      <c r="B15" s="14" t="s">
        <v>2</v>
      </c>
      <c r="C15" s="9" t="s">
        <v>3</v>
      </c>
      <c r="D15" s="58" t="s">
        <v>5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A15" s="41"/>
      <c r="AB15"/>
    </row>
    <row r="16" spans="1:28" s="13" customFormat="1" ht="16" thickBot="1" x14ac:dyDescent="0.25">
      <c r="A16" s="7"/>
      <c r="B16" s="9">
        <v>3</v>
      </c>
      <c r="C16" s="6">
        <f>$C$1-B16</f>
        <v>22</v>
      </c>
      <c r="D16" s="45">
        <v>1</v>
      </c>
      <c r="E16" s="46">
        <f>D16+1</f>
        <v>2</v>
      </c>
      <c r="F16" s="46">
        <f t="shared" ref="F16:Z16" si="7">E16+1</f>
        <v>3</v>
      </c>
      <c r="G16" s="46">
        <f t="shared" si="7"/>
        <v>4</v>
      </c>
      <c r="H16" s="46">
        <f t="shared" si="7"/>
        <v>5</v>
      </c>
      <c r="I16" s="46">
        <f t="shared" si="7"/>
        <v>6</v>
      </c>
      <c r="J16" s="46">
        <f t="shared" si="7"/>
        <v>7</v>
      </c>
      <c r="K16" s="46">
        <f t="shared" si="7"/>
        <v>8</v>
      </c>
      <c r="L16" s="46">
        <f t="shared" si="7"/>
        <v>9</v>
      </c>
      <c r="M16" s="46">
        <f t="shared" si="7"/>
        <v>10</v>
      </c>
      <c r="N16" s="46">
        <f t="shared" si="7"/>
        <v>11</v>
      </c>
      <c r="O16" s="46">
        <f t="shared" si="7"/>
        <v>12</v>
      </c>
      <c r="P16" s="46">
        <f t="shared" si="7"/>
        <v>13</v>
      </c>
      <c r="Q16" s="46">
        <f t="shared" si="7"/>
        <v>14</v>
      </c>
      <c r="R16" s="46">
        <f t="shared" si="7"/>
        <v>15</v>
      </c>
      <c r="S16" s="46">
        <f t="shared" si="7"/>
        <v>16</v>
      </c>
      <c r="T16" s="46">
        <f t="shared" si="7"/>
        <v>17</v>
      </c>
      <c r="U16" s="46">
        <f t="shared" si="7"/>
        <v>18</v>
      </c>
      <c r="V16" s="46">
        <f t="shared" si="7"/>
        <v>19</v>
      </c>
      <c r="W16" s="46">
        <f t="shared" si="7"/>
        <v>20</v>
      </c>
      <c r="X16" s="46">
        <f t="shared" si="7"/>
        <v>21</v>
      </c>
      <c r="Y16" s="46">
        <f t="shared" si="7"/>
        <v>22</v>
      </c>
      <c r="Z16" s="47">
        <f t="shared" si="7"/>
        <v>23</v>
      </c>
      <c r="AA16" s="41"/>
      <c r="AB16"/>
    </row>
    <row r="17" spans="1:28" s="13" customFormat="1" x14ac:dyDescent="0.2">
      <c r="C17" s="10" t="s">
        <v>1</v>
      </c>
      <c r="D17" s="52">
        <f>COMBIN($C$16,D16)/COMBIN($C$1,D16)</f>
        <v>0.88</v>
      </c>
      <c r="E17" s="26">
        <f>COMBIN($C$16,E16)/COMBIN($C$1,E16)</f>
        <v>0.77</v>
      </c>
      <c r="F17" s="26">
        <f>COMBIN($C$16,F16)/COMBIN($C$1,F16)</f>
        <v>0.66956521739130437</v>
      </c>
      <c r="G17" s="26">
        <f>COMBIN($C$16,G16)/COMBIN($C$1,G16)</f>
        <v>0.57826086956521727</v>
      </c>
      <c r="H17" s="26">
        <f>COMBIN($C$16,H16)/COMBIN($C$1,H16)</f>
        <v>0.49565217391304356</v>
      </c>
      <c r="I17" s="26">
        <f>COMBIN($C$16,I16)/COMBIN($C$1,I16)</f>
        <v>0.421304347826087</v>
      </c>
      <c r="J17" s="26">
        <f>COMBIN($C$16,J16)/COMBIN($C$1,J16)</f>
        <v>0.35478260869565209</v>
      </c>
      <c r="K17" s="26">
        <f>COMBIN($C$16,K16)/COMBIN($C$1,K16)</f>
        <v>0.29565217391304349</v>
      </c>
      <c r="L17" s="26">
        <f>COMBIN($C$16,L16)/COMBIN($C$1,L16)</f>
        <v>0.24347826086956523</v>
      </c>
      <c r="M17" s="26">
        <f>COMBIN($C$16,M16)/COMBIN($C$1,M16)</f>
        <v>0.19782608695652179</v>
      </c>
      <c r="N17" s="26">
        <f>COMBIN($C$16,N16)/COMBIN($C$1,N16)</f>
        <v>0.1582608695652174</v>
      </c>
      <c r="O17" s="26">
        <f>COMBIN($C$16,O16)/COMBIN($C$1,O16)</f>
        <v>0.12434782608695652</v>
      </c>
      <c r="P17" s="26">
        <f>COMBIN($C$16,P16)/COMBIN($C$1,P16)</f>
        <v>9.5652173913043467E-2</v>
      </c>
      <c r="Q17" s="26">
        <f>COMBIN($C$16,Q16)/COMBIN($C$1,Q16)</f>
        <v>7.1739130434782611E-2</v>
      </c>
      <c r="R17" s="26">
        <f>COMBIN($C$16,R16)/COMBIN($C$1,R16)</f>
        <v>5.2173913043478265E-2</v>
      </c>
      <c r="S17" s="26">
        <f>COMBIN($C$16,S16)/COMBIN($C$1,S16)</f>
        <v>3.6521739130434785E-2</v>
      </c>
      <c r="T17" s="26">
        <f>COMBIN($C$16,T16)/COMBIN($C$1,T16)</f>
        <v>2.4347826086956521E-2</v>
      </c>
      <c r="U17" s="26">
        <f>COMBIN($C$16,U16)/COMBIN($C$1,U16)</f>
        <v>1.5217391304347823E-2</v>
      </c>
      <c r="V17" s="26">
        <f>COMBIN($C$16,V16)/COMBIN($C$1,V16)</f>
        <v>8.6956521739130453E-3</v>
      </c>
      <c r="W17" s="26">
        <f>COMBIN($C$16,W16)/COMBIN($C$1,W16)</f>
        <v>4.3478260869565227E-3</v>
      </c>
      <c r="X17" s="26">
        <f>COMBIN($C$16,X16)/COMBIN($C$1,X16)</f>
        <v>1.7391304347826085E-3</v>
      </c>
      <c r="Y17" s="26">
        <f>COMBIN($C$16,Y16)/COMBIN($C$1,Y16)</f>
        <v>4.3478260869565219E-4</v>
      </c>
      <c r="Z17" s="44"/>
      <c r="AA17" s="41"/>
      <c r="AB17"/>
    </row>
    <row r="18" spans="1:28" s="13" customFormat="1" x14ac:dyDescent="0.2">
      <c r="C18" s="11" t="s">
        <v>6</v>
      </c>
      <c r="D18" s="38">
        <f>1/D17</f>
        <v>1.1363636363636365</v>
      </c>
      <c r="E18" s="27">
        <f t="shared" ref="E18:Y18" si="8">1/E17</f>
        <v>1.2987012987012987</v>
      </c>
      <c r="F18" s="27">
        <f t="shared" si="8"/>
        <v>1.4935064935064934</v>
      </c>
      <c r="G18" s="27">
        <f t="shared" si="8"/>
        <v>1.7293233082706772</v>
      </c>
      <c r="H18" s="27">
        <f t="shared" si="8"/>
        <v>2.0175438596491224</v>
      </c>
      <c r="I18" s="27">
        <f t="shared" si="8"/>
        <v>2.3735810113519089</v>
      </c>
      <c r="J18" s="27">
        <f t="shared" si="8"/>
        <v>2.8186274509803928</v>
      </c>
      <c r="K18" s="27">
        <f t="shared" si="8"/>
        <v>3.3823529411764706</v>
      </c>
      <c r="L18" s="27">
        <f t="shared" si="8"/>
        <v>4.1071428571428568</v>
      </c>
      <c r="M18" s="27">
        <f t="shared" si="8"/>
        <v>5.0549450549450539</v>
      </c>
      <c r="N18" s="27">
        <f t="shared" si="8"/>
        <v>6.3186813186813184</v>
      </c>
      <c r="O18" s="27">
        <f t="shared" si="8"/>
        <v>8.0419580419580416</v>
      </c>
      <c r="P18" s="27">
        <f t="shared" si="8"/>
        <v>10.454545454545455</v>
      </c>
      <c r="Q18" s="27">
        <f t="shared" si="8"/>
        <v>13.939393939393939</v>
      </c>
      <c r="R18" s="27">
        <f t="shared" si="8"/>
        <v>19.166666666666664</v>
      </c>
      <c r="S18" s="27">
        <f t="shared" si="8"/>
        <v>27.38095238095238</v>
      </c>
      <c r="T18" s="27">
        <f t="shared" si="8"/>
        <v>41.071428571428569</v>
      </c>
      <c r="U18" s="27">
        <f t="shared" si="8"/>
        <v>65.714285714285722</v>
      </c>
      <c r="V18" s="27">
        <f t="shared" si="8"/>
        <v>114.99999999999997</v>
      </c>
      <c r="W18" s="27">
        <f t="shared" si="8"/>
        <v>229.99999999999994</v>
      </c>
      <c r="X18" s="27">
        <f t="shared" si="8"/>
        <v>575</v>
      </c>
      <c r="Y18" s="27">
        <f t="shared" si="8"/>
        <v>2300</v>
      </c>
      <c r="Z18" s="42"/>
      <c r="AA18" s="41"/>
      <c r="AB18"/>
    </row>
    <row r="19" spans="1:28" s="13" customFormat="1" ht="16" thickBot="1" x14ac:dyDescent="0.25">
      <c r="C19" s="12" t="s">
        <v>8</v>
      </c>
      <c r="D19" s="32">
        <f>$F$1*D18</f>
        <v>1.1022727272727273</v>
      </c>
      <c r="E19" s="31">
        <f t="shared" ref="E19:Y19" si="9">$F$1*E18</f>
        <v>1.2597402597402596</v>
      </c>
      <c r="F19" s="31">
        <f t="shared" si="9"/>
        <v>1.4487012987012986</v>
      </c>
      <c r="G19" s="31">
        <f t="shared" si="9"/>
        <v>1.6774436090225568</v>
      </c>
      <c r="H19" s="31">
        <f t="shared" si="9"/>
        <v>1.9570175438596487</v>
      </c>
      <c r="I19" s="31">
        <f t="shared" si="9"/>
        <v>2.3023735810113517</v>
      </c>
      <c r="J19" s="31">
        <f t="shared" si="9"/>
        <v>2.7340686274509811</v>
      </c>
      <c r="K19" s="31">
        <f t="shared" si="9"/>
        <v>3.2808823529411764</v>
      </c>
      <c r="L19" s="31">
        <f t="shared" si="9"/>
        <v>3.9839285714285708</v>
      </c>
      <c r="M19" s="31">
        <f t="shared" si="9"/>
        <v>4.9032967032967019</v>
      </c>
      <c r="N19" s="31">
        <f t="shared" si="9"/>
        <v>6.1291208791208787</v>
      </c>
      <c r="O19" s="31">
        <f t="shared" si="9"/>
        <v>7.8006993006993</v>
      </c>
      <c r="P19" s="31">
        <f t="shared" si="9"/>
        <v>10.140909090909091</v>
      </c>
      <c r="Q19" s="31">
        <f t="shared" si="9"/>
        <v>13.521212121212121</v>
      </c>
      <c r="R19" s="31">
        <f t="shared" si="9"/>
        <v>18.591666666666665</v>
      </c>
      <c r="S19" s="31">
        <f t="shared" si="9"/>
        <v>26.559523809523807</v>
      </c>
      <c r="T19" s="31">
        <f t="shared" si="9"/>
        <v>39.839285714285708</v>
      </c>
      <c r="U19" s="31">
        <f t="shared" si="9"/>
        <v>63.742857142857147</v>
      </c>
      <c r="V19" s="31">
        <f t="shared" si="9"/>
        <v>111.54999999999997</v>
      </c>
      <c r="W19" s="31">
        <f t="shared" si="9"/>
        <v>223.09999999999994</v>
      </c>
      <c r="X19" s="31">
        <f t="shared" si="9"/>
        <v>557.75</v>
      </c>
      <c r="Y19" s="31">
        <f t="shared" si="9"/>
        <v>2231</v>
      </c>
      <c r="Z19" s="43"/>
      <c r="AA19" s="41"/>
      <c r="AB19"/>
    </row>
    <row r="20" spans="1:28" ht="16" thickBot="1" x14ac:dyDescent="0.25"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8" s="13" customFormat="1" ht="16" thickBot="1" x14ac:dyDescent="0.25">
      <c r="A21" s="3" t="s">
        <v>17</v>
      </c>
      <c r="B21" s="14" t="s">
        <v>2</v>
      </c>
      <c r="C21" s="9" t="s">
        <v>3</v>
      </c>
      <c r="D21" s="58" t="s">
        <v>5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60"/>
      <c r="Z21" s="41"/>
      <c r="AA21" s="41"/>
      <c r="AB21"/>
    </row>
    <row r="22" spans="1:28" s="13" customFormat="1" ht="16" thickBot="1" x14ac:dyDescent="0.25">
      <c r="A22" s="7"/>
      <c r="B22" s="9">
        <v>4</v>
      </c>
      <c r="C22" s="6">
        <f>$C$1-B22</f>
        <v>21</v>
      </c>
      <c r="D22" s="45">
        <v>1</v>
      </c>
      <c r="E22" s="46">
        <f>D22+1</f>
        <v>2</v>
      </c>
      <c r="F22" s="46">
        <f t="shared" ref="F22:Y22" si="10">E22+1</f>
        <v>3</v>
      </c>
      <c r="G22" s="46">
        <f t="shared" si="10"/>
        <v>4</v>
      </c>
      <c r="H22" s="46">
        <f t="shared" si="10"/>
        <v>5</v>
      </c>
      <c r="I22" s="46">
        <f t="shared" si="10"/>
        <v>6</v>
      </c>
      <c r="J22" s="46">
        <f t="shared" si="10"/>
        <v>7</v>
      </c>
      <c r="K22" s="46">
        <f t="shared" si="10"/>
        <v>8</v>
      </c>
      <c r="L22" s="46">
        <f t="shared" si="10"/>
        <v>9</v>
      </c>
      <c r="M22" s="46">
        <f t="shared" si="10"/>
        <v>10</v>
      </c>
      <c r="N22" s="46">
        <f t="shared" si="10"/>
        <v>11</v>
      </c>
      <c r="O22" s="46">
        <f t="shared" si="10"/>
        <v>12</v>
      </c>
      <c r="P22" s="46">
        <f t="shared" si="10"/>
        <v>13</v>
      </c>
      <c r="Q22" s="46">
        <f t="shared" si="10"/>
        <v>14</v>
      </c>
      <c r="R22" s="46">
        <f t="shared" si="10"/>
        <v>15</v>
      </c>
      <c r="S22" s="46">
        <f t="shared" si="10"/>
        <v>16</v>
      </c>
      <c r="T22" s="46">
        <f t="shared" si="10"/>
        <v>17</v>
      </c>
      <c r="U22" s="46">
        <f t="shared" si="10"/>
        <v>18</v>
      </c>
      <c r="V22" s="46">
        <f t="shared" si="10"/>
        <v>19</v>
      </c>
      <c r="W22" s="46">
        <f t="shared" si="10"/>
        <v>20</v>
      </c>
      <c r="X22" s="46">
        <f t="shared" si="10"/>
        <v>21</v>
      </c>
      <c r="Y22" s="47">
        <f t="shared" si="10"/>
        <v>22</v>
      </c>
      <c r="Z22" s="41"/>
      <c r="AA22" s="41"/>
      <c r="AB22"/>
    </row>
    <row r="23" spans="1:28" s="13" customFormat="1" x14ac:dyDescent="0.2">
      <c r="C23" s="10" t="s">
        <v>1</v>
      </c>
      <c r="D23" s="26">
        <f>COMBIN($C$22,D22)/COMBIN($C$1,D22)</f>
        <v>0.84</v>
      </c>
      <c r="E23" s="26">
        <f>COMBIN($C$22,E22)/COMBIN($C$1,E22)</f>
        <v>0.7</v>
      </c>
      <c r="F23" s="26">
        <f>COMBIN($C$22,F22)/COMBIN($C$1,F22)</f>
        <v>0.57826086956521738</v>
      </c>
      <c r="G23" s="26">
        <f>COMBIN($C$22,G22)/COMBIN($C$1,G22)</f>
        <v>0.47312252964426871</v>
      </c>
      <c r="H23" s="26">
        <f>COMBIN($C$22,H22)/COMBIN($C$1,H22)</f>
        <v>0.38300395256917003</v>
      </c>
      <c r="I23" s="26">
        <f>COMBIN($C$22,I22)/COMBIN($C$1,I22)</f>
        <v>0.30640316205533602</v>
      </c>
      <c r="J23" s="26">
        <f>COMBIN($C$22,J22)/COMBIN($C$1,J22)</f>
        <v>0.24189723320158096</v>
      </c>
      <c r="K23" s="26">
        <f>COMBIN($C$22,K22)/COMBIN($C$1,K22)</f>
        <v>0.18814229249011857</v>
      </c>
      <c r="L23" s="26">
        <f>COMBIN($C$22,L22)/COMBIN($C$1,L22)</f>
        <v>0.14387351778656129</v>
      </c>
      <c r="M23" s="26">
        <f>COMBIN($C$22,M22)/COMBIN($C$1,M22)</f>
        <v>0.10790513833992096</v>
      </c>
      <c r="N23" s="26">
        <f>COMBIN($C$22,N22)/COMBIN($C$1,N22)</f>
        <v>7.91304347826087E-2</v>
      </c>
      <c r="O23" s="26">
        <f>COMBIN($C$22,O22)/COMBIN($C$1,O22)</f>
        <v>5.6521739130434782E-2</v>
      </c>
      <c r="P23" s="26">
        <f>COMBIN($C$22,P22)/COMBIN($C$1,P22)</f>
        <v>3.9130434782608692E-2</v>
      </c>
      <c r="Q23" s="26">
        <f>COMBIN($C$22,Q22)/COMBIN($C$1,Q22)</f>
        <v>2.6086956521739129E-2</v>
      </c>
      <c r="R23" s="26">
        <f>COMBIN($C$22,R22)/COMBIN($C$1,R22)</f>
        <v>1.6600790513833993E-2</v>
      </c>
      <c r="S23" s="26">
        <f>COMBIN($C$22,S22)/COMBIN($C$1,S22)</f>
        <v>9.960474308300396E-3</v>
      </c>
      <c r="T23" s="26">
        <f>COMBIN($C$22,T22)/COMBIN($C$1,T22)</f>
        <v>5.5335968379446642E-3</v>
      </c>
      <c r="U23" s="26">
        <f>COMBIN($C$22,U22)/COMBIN($C$1,U22)</f>
        <v>2.7667984189723312E-3</v>
      </c>
      <c r="V23" s="26">
        <f>COMBIN($C$22,V22)/COMBIN($C$1,V22)</f>
        <v>1.1857707509881424E-3</v>
      </c>
      <c r="W23" s="26">
        <f>COMBIN($C$22,W22)/COMBIN($C$1,W22)</f>
        <v>3.9525691699604748E-4</v>
      </c>
      <c r="X23" s="26">
        <f>COMBIN($C$22,X22)/COMBIN($C$1,X22)</f>
        <v>7.9051383399209474E-5</v>
      </c>
      <c r="Y23" s="44"/>
      <c r="Z23" s="41"/>
      <c r="AA23" s="41"/>
      <c r="AB23"/>
    </row>
    <row r="24" spans="1:28" s="13" customFormat="1" x14ac:dyDescent="0.2">
      <c r="C24" s="11" t="s">
        <v>6</v>
      </c>
      <c r="D24" s="38">
        <f>1/D23</f>
        <v>1.1904761904761905</v>
      </c>
      <c r="E24" s="27">
        <f t="shared" ref="E24:X24" si="11">1/E23</f>
        <v>1.4285714285714286</v>
      </c>
      <c r="F24" s="27">
        <f t="shared" si="11"/>
        <v>1.7293233082706767</v>
      </c>
      <c r="G24" s="27">
        <f t="shared" si="11"/>
        <v>2.1136173767752719</v>
      </c>
      <c r="H24" s="27">
        <f t="shared" si="11"/>
        <v>2.6109391124870998</v>
      </c>
      <c r="I24" s="27">
        <f t="shared" si="11"/>
        <v>3.2636738906088745</v>
      </c>
      <c r="J24" s="27">
        <f t="shared" si="11"/>
        <v>4.1339869281045765</v>
      </c>
      <c r="K24" s="27">
        <f t="shared" si="11"/>
        <v>5.3151260504201678</v>
      </c>
      <c r="L24" s="27">
        <f t="shared" si="11"/>
        <v>6.9505494505494489</v>
      </c>
      <c r="M24" s="27">
        <f t="shared" si="11"/>
        <v>9.2673992673992664</v>
      </c>
      <c r="N24" s="27">
        <f t="shared" si="11"/>
        <v>12.637362637362637</v>
      </c>
      <c r="O24" s="27">
        <f t="shared" si="11"/>
        <v>17.692307692307693</v>
      </c>
      <c r="P24" s="27">
        <f t="shared" si="11"/>
        <v>25.555555555555557</v>
      </c>
      <c r="Q24" s="27">
        <f t="shared" si="11"/>
        <v>38.333333333333336</v>
      </c>
      <c r="R24" s="27">
        <f t="shared" si="11"/>
        <v>60.238095238095234</v>
      </c>
      <c r="S24" s="27">
        <f t="shared" si="11"/>
        <v>100.39682539682539</v>
      </c>
      <c r="T24" s="27">
        <f t="shared" si="11"/>
        <v>180.71428571428572</v>
      </c>
      <c r="U24" s="27">
        <f t="shared" si="11"/>
        <v>361.42857142857156</v>
      </c>
      <c r="V24" s="27">
        <f t="shared" si="11"/>
        <v>843.33333333333326</v>
      </c>
      <c r="W24" s="27">
        <f t="shared" si="11"/>
        <v>2529.9999999999995</v>
      </c>
      <c r="X24" s="27">
        <f t="shared" si="11"/>
        <v>12650.000000000002</v>
      </c>
      <c r="Y24" s="42"/>
      <c r="Z24" s="41"/>
      <c r="AA24" s="41"/>
      <c r="AB24"/>
    </row>
    <row r="25" spans="1:28" s="13" customFormat="1" ht="16" thickBot="1" x14ac:dyDescent="0.25">
      <c r="C25" s="12" t="s">
        <v>8</v>
      </c>
      <c r="D25" s="32">
        <f>$F$1*D24</f>
        <v>1.1547619047619047</v>
      </c>
      <c r="E25" s="31">
        <f t="shared" ref="E25:X25" si="12">$F$1*E24</f>
        <v>1.3857142857142857</v>
      </c>
      <c r="F25" s="31">
        <f t="shared" si="12"/>
        <v>1.6774436090225564</v>
      </c>
      <c r="G25" s="31">
        <f t="shared" si="12"/>
        <v>2.0502088554720137</v>
      </c>
      <c r="H25" s="31">
        <f t="shared" si="12"/>
        <v>2.5326109391124869</v>
      </c>
      <c r="I25" s="31">
        <f t="shared" si="12"/>
        <v>3.1657636738906083</v>
      </c>
      <c r="J25" s="31">
        <f t="shared" si="12"/>
        <v>4.0099673202614392</v>
      </c>
      <c r="K25" s="31">
        <f t="shared" si="12"/>
        <v>5.1556722689075629</v>
      </c>
      <c r="L25" s="31">
        <f t="shared" si="12"/>
        <v>6.7420329670329657</v>
      </c>
      <c r="M25" s="31">
        <f t="shared" si="12"/>
        <v>8.9893772893772876</v>
      </c>
      <c r="N25" s="31">
        <f t="shared" si="12"/>
        <v>12.258241758241757</v>
      </c>
      <c r="O25" s="31">
        <f t="shared" si="12"/>
        <v>17.161538461538463</v>
      </c>
      <c r="P25" s="31">
        <f t="shared" si="12"/>
        <v>24.788888888888891</v>
      </c>
      <c r="Q25" s="31">
        <f t="shared" si="12"/>
        <v>37.183333333333337</v>
      </c>
      <c r="R25" s="31">
        <f t="shared" si="12"/>
        <v>58.430952380952377</v>
      </c>
      <c r="S25" s="31">
        <f t="shared" si="12"/>
        <v>97.384920634920633</v>
      </c>
      <c r="T25" s="31">
        <f t="shared" si="12"/>
        <v>175.29285714285714</v>
      </c>
      <c r="U25" s="31">
        <f t="shared" si="12"/>
        <v>350.5857142857144</v>
      </c>
      <c r="V25" s="31">
        <f t="shared" si="12"/>
        <v>818.03333333333319</v>
      </c>
      <c r="W25" s="31">
        <f t="shared" si="12"/>
        <v>2454.0999999999995</v>
      </c>
      <c r="X25" s="31">
        <f t="shared" si="12"/>
        <v>12270.500000000002</v>
      </c>
      <c r="Y25" s="43"/>
      <c r="Z25" s="41"/>
      <c r="AA25" s="41"/>
      <c r="AB25"/>
    </row>
    <row r="26" spans="1:28" ht="16" thickBot="1" x14ac:dyDescent="0.25"/>
    <row r="27" spans="1:28" s="13" customFormat="1" ht="16" thickBot="1" x14ac:dyDescent="0.25">
      <c r="A27" s="3" t="s">
        <v>18</v>
      </c>
      <c r="B27" s="14" t="s">
        <v>2</v>
      </c>
      <c r="C27" s="9" t="s">
        <v>3</v>
      </c>
      <c r="D27" s="55" t="s">
        <v>5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7"/>
      <c r="Y27"/>
      <c r="Z27"/>
      <c r="AA27"/>
      <c r="AB27"/>
    </row>
    <row r="28" spans="1:28" s="13" customFormat="1" ht="16" thickBot="1" x14ac:dyDescent="0.25">
      <c r="A28" s="7"/>
      <c r="B28" s="9">
        <v>5</v>
      </c>
      <c r="C28" s="6">
        <f>$C$1-B28</f>
        <v>20</v>
      </c>
      <c r="D28" s="14">
        <v>1</v>
      </c>
      <c r="E28" s="15">
        <f>D28+1</f>
        <v>2</v>
      </c>
      <c r="F28" s="15">
        <f t="shared" ref="F28:X28" si="13">E28+1</f>
        <v>3</v>
      </c>
      <c r="G28" s="15">
        <f t="shared" si="13"/>
        <v>4</v>
      </c>
      <c r="H28" s="15">
        <f t="shared" si="13"/>
        <v>5</v>
      </c>
      <c r="I28" s="15">
        <f t="shared" si="13"/>
        <v>6</v>
      </c>
      <c r="J28" s="15">
        <f t="shared" si="13"/>
        <v>7</v>
      </c>
      <c r="K28" s="15">
        <f t="shared" si="13"/>
        <v>8</v>
      </c>
      <c r="L28" s="15">
        <f t="shared" si="13"/>
        <v>9</v>
      </c>
      <c r="M28" s="15">
        <f t="shared" si="13"/>
        <v>10</v>
      </c>
      <c r="N28" s="15">
        <f t="shared" si="13"/>
        <v>11</v>
      </c>
      <c r="O28" s="15">
        <f t="shared" si="13"/>
        <v>12</v>
      </c>
      <c r="P28" s="15">
        <f t="shared" si="13"/>
        <v>13</v>
      </c>
      <c r="Q28" s="15">
        <f t="shared" si="13"/>
        <v>14</v>
      </c>
      <c r="R28" s="15">
        <f t="shared" si="13"/>
        <v>15</v>
      </c>
      <c r="S28" s="15">
        <f t="shared" si="13"/>
        <v>16</v>
      </c>
      <c r="T28" s="15">
        <f t="shared" si="13"/>
        <v>17</v>
      </c>
      <c r="U28" s="15">
        <f t="shared" si="13"/>
        <v>18</v>
      </c>
      <c r="V28" s="15">
        <f t="shared" si="13"/>
        <v>19</v>
      </c>
      <c r="W28" s="15">
        <f t="shared" si="13"/>
        <v>20</v>
      </c>
      <c r="X28" s="16">
        <f t="shared" si="13"/>
        <v>21</v>
      </c>
      <c r="Y28"/>
      <c r="Z28"/>
      <c r="AA28"/>
      <c r="AB28"/>
    </row>
    <row r="29" spans="1:28" s="13" customFormat="1" x14ac:dyDescent="0.2">
      <c r="C29" s="10" t="s">
        <v>1</v>
      </c>
      <c r="D29" s="51">
        <f>COMBIN($C$28,D28)/COMBIN($C$1,D28)</f>
        <v>0.8</v>
      </c>
      <c r="E29" s="26">
        <f>COMBIN($C$28,E28)/COMBIN($C$1,E28)</f>
        <v>0.6333333333333333</v>
      </c>
      <c r="F29" s="26">
        <f>COMBIN($C$28,F28)/COMBIN($C$1,F28)</f>
        <v>0.4956521739130435</v>
      </c>
      <c r="G29" s="26">
        <f>COMBIN($C$28,G28)/COMBIN($C$1,G28)</f>
        <v>0.38300395256916991</v>
      </c>
      <c r="H29" s="26">
        <f>COMBIN($C$28,H28)/COMBIN($C$1,H28)</f>
        <v>0.29181253529079615</v>
      </c>
      <c r="I29" s="26">
        <f>COMBIN($C$28,I28)/COMBIN($C$1,I28)</f>
        <v>0.21885940146809715</v>
      </c>
      <c r="J29" s="26">
        <f>COMBIN($C$28,J28)/COMBIN($C$1,J28)</f>
        <v>0.16126482213438731</v>
      </c>
      <c r="K29" s="26">
        <f>COMBIN($C$28,K28)/COMBIN($C$1,K28)</f>
        <v>0.11646903820816866</v>
      </c>
      <c r="L29" s="26">
        <f>COMBIN($C$28,L28)/COMBIN($C$1,L28)</f>
        <v>8.2213438735177863E-2</v>
      </c>
      <c r="M29" s="26">
        <f>COMBIN($C$28,M28)/COMBIN($C$1,M28)</f>
        <v>5.6521739130434789E-2</v>
      </c>
      <c r="N29" s="26">
        <f>COMBIN($C$28,N28)/COMBIN($C$1,N28)</f>
        <v>3.7681159420289857E-2</v>
      </c>
      <c r="O29" s="26">
        <f>COMBIN($C$28,O28)/COMBIN($C$1,O28)</f>
        <v>2.422360248447205E-2</v>
      </c>
      <c r="P29" s="26">
        <f>COMBIN($C$28,P28)/COMBIN($C$1,P28)</f>
        <v>1.4906832298136644E-2</v>
      </c>
      <c r="Q29" s="26">
        <f>COMBIN($C$28,Q28)/COMBIN($C$1,Q28)</f>
        <v>8.6956521739130436E-3</v>
      </c>
      <c r="R29" s="26">
        <f>COMBIN($C$28,R28)/COMBIN($C$1,R28)</f>
        <v>4.7430830039525695E-3</v>
      </c>
      <c r="S29" s="26">
        <f>COMBIN($C$28,S28)/COMBIN($C$1,S28)</f>
        <v>2.3715415019762848E-3</v>
      </c>
      <c r="T29" s="26">
        <f>COMBIN($C$28,T28)/COMBIN($C$1,T28)</f>
        <v>1.0540184453227931E-3</v>
      </c>
      <c r="U29" s="26">
        <f>COMBIN($C$28,U28)/COMBIN($C$1,U28)</f>
        <v>3.9525691699604732E-4</v>
      </c>
      <c r="V29" s="26">
        <f>COMBIN($C$28,V28)/COMBIN($C$1,V28)</f>
        <v>1.1293054771315642E-4</v>
      </c>
      <c r="W29" s="23">
        <f>COMBIN($C$28,W28)/COMBIN($C$1,W28)</f>
        <v>1.8821757952192737E-5</v>
      </c>
      <c r="X29" s="44"/>
      <c r="Y29"/>
      <c r="Z29"/>
      <c r="AA29"/>
      <c r="AB29"/>
    </row>
    <row r="30" spans="1:28" s="13" customFormat="1" x14ac:dyDescent="0.2">
      <c r="C30" s="11" t="s">
        <v>6</v>
      </c>
      <c r="D30" s="39">
        <f>1/D29</f>
        <v>1.25</v>
      </c>
      <c r="E30" s="27">
        <f t="shared" ref="E30:W30" si="14">1/E29</f>
        <v>1.5789473684210527</v>
      </c>
      <c r="F30" s="27">
        <f t="shared" si="14"/>
        <v>2.0175438596491229</v>
      </c>
      <c r="G30" s="27">
        <f t="shared" si="14"/>
        <v>2.6109391124871002</v>
      </c>
      <c r="H30" s="27">
        <f t="shared" si="14"/>
        <v>3.4268575851393188</v>
      </c>
      <c r="I30" s="27">
        <f t="shared" si="14"/>
        <v>4.5691434468524248</v>
      </c>
      <c r="J30" s="27">
        <f t="shared" si="14"/>
        <v>6.2009803921568647</v>
      </c>
      <c r="K30" s="27">
        <f t="shared" si="14"/>
        <v>8.5859728506787309</v>
      </c>
      <c r="L30" s="27">
        <f t="shared" si="14"/>
        <v>12.163461538461538</v>
      </c>
      <c r="M30" s="27">
        <f t="shared" si="14"/>
        <v>17.69230769230769</v>
      </c>
      <c r="N30" s="27">
        <f t="shared" si="14"/>
        <v>26.538461538461537</v>
      </c>
      <c r="O30" s="27">
        <f t="shared" si="14"/>
        <v>41.282051282051285</v>
      </c>
      <c r="P30" s="27">
        <f t="shared" si="14"/>
        <v>67.083333333333343</v>
      </c>
      <c r="Q30" s="27">
        <f t="shared" si="14"/>
        <v>115</v>
      </c>
      <c r="R30" s="27">
        <f t="shared" si="14"/>
        <v>210.83333333333331</v>
      </c>
      <c r="S30" s="27">
        <f t="shared" si="14"/>
        <v>421.66666666666663</v>
      </c>
      <c r="T30" s="27">
        <f t="shared" si="14"/>
        <v>948.75000000000011</v>
      </c>
      <c r="U30" s="27">
        <f t="shared" si="14"/>
        <v>2530.0000000000009</v>
      </c>
      <c r="V30" s="27">
        <f t="shared" si="14"/>
        <v>8854.9999999999982</v>
      </c>
      <c r="W30" s="27">
        <f t="shared" si="14"/>
        <v>53129.999999999993</v>
      </c>
      <c r="X30" s="42"/>
      <c r="Y30"/>
      <c r="Z30"/>
      <c r="AA30"/>
      <c r="AB30"/>
    </row>
    <row r="31" spans="1:28" s="13" customFormat="1" ht="16" thickBot="1" x14ac:dyDescent="0.25">
      <c r="C31" s="12" t="s">
        <v>8</v>
      </c>
      <c r="D31" s="32">
        <f>$F$1*D30</f>
        <v>1.2124999999999999</v>
      </c>
      <c r="E31" s="31">
        <f t="shared" ref="E31:W31" si="15">$F$1*E30</f>
        <v>1.5315789473684209</v>
      </c>
      <c r="F31" s="31">
        <f t="shared" si="15"/>
        <v>1.9570175438596491</v>
      </c>
      <c r="G31" s="31">
        <f t="shared" si="15"/>
        <v>2.5326109391124869</v>
      </c>
      <c r="H31" s="31">
        <f t="shared" si="15"/>
        <v>3.3240518575851392</v>
      </c>
      <c r="I31" s="31">
        <f t="shared" si="15"/>
        <v>4.432069143446852</v>
      </c>
      <c r="J31" s="31">
        <f t="shared" si="15"/>
        <v>6.0149509803921584</v>
      </c>
      <c r="K31" s="31">
        <f t="shared" si="15"/>
        <v>8.3283936651583694</v>
      </c>
      <c r="L31" s="31">
        <f t="shared" si="15"/>
        <v>11.798557692307693</v>
      </c>
      <c r="M31" s="31">
        <f t="shared" si="15"/>
        <v>17.161538461538459</v>
      </c>
      <c r="N31" s="31">
        <f t="shared" si="15"/>
        <v>25.742307692307691</v>
      </c>
      <c r="O31" s="31">
        <f t="shared" si="15"/>
        <v>40.043589743589742</v>
      </c>
      <c r="P31" s="31">
        <f t="shared" si="15"/>
        <v>65.07083333333334</v>
      </c>
      <c r="Q31" s="31">
        <f t="shared" si="15"/>
        <v>111.55</v>
      </c>
      <c r="R31" s="31">
        <f t="shared" si="15"/>
        <v>204.5083333333333</v>
      </c>
      <c r="S31" s="31">
        <f t="shared" si="15"/>
        <v>409.01666666666659</v>
      </c>
      <c r="T31" s="31">
        <f t="shared" si="15"/>
        <v>920.28750000000014</v>
      </c>
      <c r="U31" s="31">
        <f t="shared" si="15"/>
        <v>2454.1000000000008</v>
      </c>
      <c r="V31" s="31">
        <f t="shared" si="15"/>
        <v>8589.3499999999985</v>
      </c>
      <c r="W31" s="31">
        <f t="shared" si="15"/>
        <v>51536.099999999991</v>
      </c>
      <c r="X31" s="43"/>
      <c r="Y31"/>
      <c r="Z31"/>
      <c r="AA31"/>
      <c r="AB31"/>
    </row>
    <row r="32" spans="1:28" ht="16" thickBot="1" x14ac:dyDescent="0.25"/>
    <row r="33" spans="1:28" s="13" customFormat="1" ht="16" thickBot="1" x14ac:dyDescent="0.25">
      <c r="A33" s="3" t="s">
        <v>19</v>
      </c>
      <c r="B33" s="14" t="s">
        <v>2</v>
      </c>
      <c r="C33" s="9" t="s">
        <v>3</v>
      </c>
      <c r="D33" s="55" t="s">
        <v>5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/>
      <c r="Y33"/>
      <c r="Z33"/>
      <c r="AA33"/>
      <c r="AB33"/>
    </row>
    <row r="34" spans="1:28" s="13" customFormat="1" ht="16" thickBot="1" x14ac:dyDescent="0.25">
      <c r="A34" s="7"/>
      <c r="B34" s="9">
        <v>6</v>
      </c>
      <c r="C34" s="6">
        <f>$C$1-B34</f>
        <v>19</v>
      </c>
      <c r="D34" s="14">
        <v>1</v>
      </c>
      <c r="E34" s="15">
        <f>D34+1</f>
        <v>2</v>
      </c>
      <c r="F34" s="15">
        <f t="shared" ref="F34:W34" si="16">E34+1</f>
        <v>3</v>
      </c>
      <c r="G34" s="15">
        <f t="shared" si="16"/>
        <v>4</v>
      </c>
      <c r="H34" s="15">
        <f t="shared" si="16"/>
        <v>5</v>
      </c>
      <c r="I34" s="15">
        <f t="shared" si="16"/>
        <v>6</v>
      </c>
      <c r="J34" s="15">
        <f t="shared" si="16"/>
        <v>7</v>
      </c>
      <c r="K34" s="15">
        <f t="shared" si="16"/>
        <v>8</v>
      </c>
      <c r="L34" s="15">
        <f t="shared" si="16"/>
        <v>9</v>
      </c>
      <c r="M34" s="15">
        <f t="shared" si="16"/>
        <v>10</v>
      </c>
      <c r="N34" s="15">
        <f t="shared" si="16"/>
        <v>11</v>
      </c>
      <c r="O34" s="15">
        <f t="shared" si="16"/>
        <v>12</v>
      </c>
      <c r="P34" s="15">
        <f t="shared" si="16"/>
        <v>13</v>
      </c>
      <c r="Q34" s="15">
        <f t="shared" si="16"/>
        <v>14</v>
      </c>
      <c r="R34" s="15">
        <f t="shared" si="16"/>
        <v>15</v>
      </c>
      <c r="S34" s="15">
        <f t="shared" si="16"/>
        <v>16</v>
      </c>
      <c r="T34" s="15">
        <f t="shared" si="16"/>
        <v>17</v>
      </c>
      <c r="U34" s="15">
        <f t="shared" si="16"/>
        <v>18</v>
      </c>
      <c r="V34" s="15">
        <f t="shared" si="16"/>
        <v>19</v>
      </c>
      <c r="W34" s="16">
        <f t="shared" si="16"/>
        <v>20</v>
      </c>
      <c r="X34"/>
      <c r="Y34"/>
      <c r="Z34"/>
      <c r="AA34"/>
      <c r="AB34"/>
    </row>
    <row r="35" spans="1:28" s="13" customFormat="1" x14ac:dyDescent="0.2">
      <c r="C35" s="10" t="s">
        <v>1</v>
      </c>
      <c r="D35" s="3">
        <f>COMBIN($C$34,D34)/COMBIN($C$1,D34)</f>
        <v>0.76</v>
      </c>
      <c r="E35" s="17">
        <f>COMBIN($C$34,E34)/COMBIN($C$1,E34)</f>
        <v>0.56999999999999995</v>
      </c>
      <c r="F35" s="17">
        <f>COMBIN($C$34,F34)/COMBIN($C$1,F34)</f>
        <v>0.42130434782608694</v>
      </c>
      <c r="G35" s="17">
        <f>COMBIN($C$34,G34)/COMBIN($C$1,G34)</f>
        <v>0.30640316205533591</v>
      </c>
      <c r="H35" s="17">
        <f>COMBIN($C$34,H34)/COMBIN($C$1,H34)</f>
        <v>0.21885940146809715</v>
      </c>
      <c r="I35" s="17">
        <f>COMBIN($C$34,I34)/COMBIN($C$1,I34)</f>
        <v>0.15320158102766801</v>
      </c>
      <c r="J35" s="17">
        <f>COMBIN($C$34,J34)/COMBIN($C$1,J34)</f>
        <v>0.10482213438735177</v>
      </c>
      <c r="K35" s="17">
        <f>COMBIN($C$34,K34)/COMBIN($C$1,K34)</f>
        <v>6.9881422924901168E-2</v>
      </c>
      <c r="L35" s="17">
        <f>COMBIN($C$34,L34)/COMBIN($C$1,L34)</f>
        <v>4.5217391304347827E-2</v>
      </c>
      <c r="M35" s="17">
        <f>COMBIN($C$34,M34)/COMBIN($C$1,M34)</f>
        <v>2.8260869565217395E-2</v>
      </c>
      <c r="N35" s="17">
        <f>COMBIN($C$34,N34)/COMBIN($C$1,N34)</f>
        <v>1.6956521739130433E-2</v>
      </c>
      <c r="O35" s="17">
        <f>COMBIN($C$34,O34)/COMBIN($C$1,O34)</f>
        <v>9.6894409937888192E-3</v>
      </c>
      <c r="P35" s="17">
        <f>COMBIN($C$34,P34)/COMBIN($C$1,P34)</f>
        <v>5.2173913043478248E-3</v>
      </c>
      <c r="Q35" s="17">
        <f>COMBIN($C$34,Q34)/COMBIN($C$1,Q34)</f>
        <v>2.6086956521739132E-3</v>
      </c>
      <c r="R35" s="17">
        <f>COMBIN($C$34,R34)/COMBIN($C$1,R34)</f>
        <v>1.1857707509881424E-3</v>
      </c>
      <c r="S35" s="17">
        <f>COMBIN($C$34,S34)/COMBIN($C$1,S34)</f>
        <v>4.743083003952569E-4</v>
      </c>
      <c r="T35" s="17">
        <f>COMBIN($C$34,T34)/COMBIN($C$1,T34)</f>
        <v>1.5810276679841898E-4</v>
      </c>
      <c r="U35" s="17">
        <f>COMBIN($C$34,U34)/COMBIN($C$1,U34)</f>
        <v>3.952569169960473E-5</v>
      </c>
      <c r="V35" s="17">
        <f>COMBIN($C$34,V34)/COMBIN($C$1,V34)</f>
        <v>5.6465273856578217E-6</v>
      </c>
      <c r="W35" s="4"/>
      <c r="X35"/>
      <c r="Y35"/>
      <c r="Z35"/>
      <c r="AA35"/>
      <c r="AB35"/>
    </row>
    <row r="36" spans="1:28" s="13" customFormat="1" x14ac:dyDescent="0.2">
      <c r="C36" s="11" t="s">
        <v>6</v>
      </c>
      <c r="D36" s="5">
        <f>1/D35</f>
        <v>1.3157894736842106</v>
      </c>
      <c r="E36" s="13">
        <f t="shared" ref="E36:V36" si="17">1/E35</f>
        <v>1.7543859649122808</v>
      </c>
      <c r="F36" s="13">
        <f t="shared" si="17"/>
        <v>2.3735810113519094</v>
      </c>
      <c r="G36" s="13">
        <f t="shared" si="17"/>
        <v>3.2636738906088758</v>
      </c>
      <c r="H36" s="13">
        <f t="shared" si="17"/>
        <v>4.5691434468524248</v>
      </c>
      <c r="I36" s="13">
        <f t="shared" si="17"/>
        <v>6.5273477812177489</v>
      </c>
      <c r="J36" s="13">
        <f t="shared" si="17"/>
        <v>9.539969834087481</v>
      </c>
      <c r="K36" s="13">
        <f t="shared" si="17"/>
        <v>14.309954751131226</v>
      </c>
      <c r="L36" s="13">
        <f t="shared" si="17"/>
        <v>22.115384615384613</v>
      </c>
      <c r="M36" s="13">
        <f t="shared" si="17"/>
        <v>35.38461538461538</v>
      </c>
      <c r="N36" s="13">
        <f t="shared" si="17"/>
        <v>58.974358974358985</v>
      </c>
      <c r="O36" s="13">
        <f t="shared" si="17"/>
        <v>103.20512820512822</v>
      </c>
      <c r="P36" s="13">
        <f t="shared" si="17"/>
        <v>191.66666666666671</v>
      </c>
      <c r="Q36" s="13">
        <f t="shared" si="17"/>
        <v>383.33333333333331</v>
      </c>
      <c r="R36" s="13">
        <f t="shared" si="17"/>
        <v>843.33333333333326</v>
      </c>
      <c r="S36" s="13">
        <f t="shared" si="17"/>
        <v>2108.3333333333335</v>
      </c>
      <c r="T36" s="13">
        <f t="shared" si="17"/>
        <v>6325</v>
      </c>
      <c r="U36" s="13">
        <f t="shared" si="17"/>
        <v>25300.000000000007</v>
      </c>
      <c r="V36" s="13">
        <f t="shared" si="17"/>
        <v>177099.99999999997</v>
      </c>
      <c r="W36" s="6"/>
      <c r="X36"/>
      <c r="Y36"/>
      <c r="Z36"/>
      <c r="AA36"/>
      <c r="AB36"/>
    </row>
    <row r="37" spans="1:28" s="13" customFormat="1" ht="16" thickBot="1" x14ac:dyDescent="0.25">
      <c r="C37" s="12" t="s">
        <v>8</v>
      </c>
      <c r="D37" s="7">
        <f>$F$1*D36</f>
        <v>1.2763157894736843</v>
      </c>
      <c r="E37" s="18">
        <f t="shared" ref="E37:V37" si="18">$F$1*E36</f>
        <v>1.7017543859649125</v>
      </c>
      <c r="F37" s="18">
        <f t="shared" si="18"/>
        <v>2.3023735810113521</v>
      </c>
      <c r="G37" s="18">
        <f t="shared" si="18"/>
        <v>3.1657636738906096</v>
      </c>
      <c r="H37" s="18">
        <f t="shared" si="18"/>
        <v>4.432069143446852</v>
      </c>
      <c r="I37" s="18">
        <f t="shared" si="18"/>
        <v>6.3315273477812166</v>
      </c>
      <c r="J37" s="18">
        <f t="shared" si="18"/>
        <v>9.2537707390648567</v>
      </c>
      <c r="K37" s="18">
        <f t="shared" si="18"/>
        <v>13.880656108597289</v>
      </c>
      <c r="L37" s="18">
        <f t="shared" si="18"/>
        <v>21.451923076923073</v>
      </c>
      <c r="M37" s="18">
        <f t="shared" si="18"/>
        <v>34.323076923076918</v>
      </c>
      <c r="N37" s="18">
        <f t="shared" si="18"/>
        <v>57.205128205128212</v>
      </c>
      <c r="O37" s="18">
        <f t="shared" si="18"/>
        <v>100.10897435897436</v>
      </c>
      <c r="P37" s="18">
        <f t="shared" si="18"/>
        <v>185.91666666666671</v>
      </c>
      <c r="Q37" s="18">
        <f t="shared" si="18"/>
        <v>371.83333333333331</v>
      </c>
      <c r="R37" s="18">
        <f t="shared" si="18"/>
        <v>818.03333333333319</v>
      </c>
      <c r="S37" s="18">
        <f t="shared" si="18"/>
        <v>2045.0833333333335</v>
      </c>
      <c r="T37" s="18">
        <f t="shared" si="18"/>
        <v>6135.25</v>
      </c>
      <c r="U37" s="18">
        <f t="shared" si="18"/>
        <v>24541.000000000007</v>
      </c>
      <c r="V37" s="18">
        <f t="shared" si="18"/>
        <v>171786.99999999997</v>
      </c>
      <c r="W37" s="8"/>
      <c r="X37"/>
      <c r="Y37"/>
      <c r="Z37"/>
      <c r="AA37"/>
      <c r="AB37"/>
    </row>
    <row r="38" spans="1:28" ht="16" thickBot="1" x14ac:dyDescent="0.25"/>
    <row r="39" spans="1:28" s="13" customFormat="1" ht="16" thickBot="1" x14ac:dyDescent="0.25">
      <c r="A39" s="3" t="s">
        <v>20</v>
      </c>
      <c r="B39" s="14" t="s">
        <v>2</v>
      </c>
      <c r="C39" s="9" t="s">
        <v>3</v>
      </c>
      <c r="D39" s="55" t="s">
        <v>5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7"/>
      <c r="W39"/>
      <c r="X39"/>
      <c r="Y39"/>
      <c r="Z39"/>
      <c r="AA39"/>
      <c r="AB39"/>
    </row>
    <row r="40" spans="1:28" s="13" customFormat="1" ht="16" thickBot="1" x14ac:dyDescent="0.25">
      <c r="A40" s="7"/>
      <c r="B40" s="9">
        <v>7</v>
      </c>
      <c r="C40" s="6">
        <f>$C$1-B40</f>
        <v>18</v>
      </c>
      <c r="D40" s="14">
        <v>1</v>
      </c>
      <c r="E40" s="15">
        <f>D40+1</f>
        <v>2</v>
      </c>
      <c r="F40" s="15">
        <f t="shared" ref="F40:V40" si="19">E40+1</f>
        <v>3</v>
      </c>
      <c r="G40" s="15">
        <f t="shared" si="19"/>
        <v>4</v>
      </c>
      <c r="H40" s="15">
        <f t="shared" si="19"/>
        <v>5</v>
      </c>
      <c r="I40" s="15">
        <f t="shared" si="19"/>
        <v>6</v>
      </c>
      <c r="J40" s="15">
        <f t="shared" si="19"/>
        <v>7</v>
      </c>
      <c r="K40" s="15">
        <f t="shared" si="19"/>
        <v>8</v>
      </c>
      <c r="L40" s="15">
        <f t="shared" si="19"/>
        <v>9</v>
      </c>
      <c r="M40" s="15">
        <f t="shared" si="19"/>
        <v>10</v>
      </c>
      <c r="N40" s="15">
        <f t="shared" si="19"/>
        <v>11</v>
      </c>
      <c r="O40" s="15">
        <f t="shared" si="19"/>
        <v>12</v>
      </c>
      <c r="P40" s="15">
        <f t="shared" si="19"/>
        <v>13</v>
      </c>
      <c r="Q40" s="15">
        <f t="shared" si="19"/>
        <v>14</v>
      </c>
      <c r="R40" s="15">
        <f t="shared" si="19"/>
        <v>15</v>
      </c>
      <c r="S40" s="15">
        <f t="shared" si="19"/>
        <v>16</v>
      </c>
      <c r="T40" s="15">
        <f t="shared" si="19"/>
        <v>17</v>
      </c>
      <c r="U40" s="15">
        <f t="shared" si="19"/>
        <v>18</v>
      </c>
      <c r="V40" s="16">
        <f t="shared" si="19"/>
        <v>19</v>
      </c>
      <c r="W40"/>
      <c r="X40"/>
      <c r="Y40"/>
      <c r="Z40"/>
      <c r="AA40"/>
      <c r="AB40"/>
    </row>
    <row r="41" spans="1:28" s="13" customFormat="1" x14ac:dyDescent="0.2">
      <c r="C41" s="10" t="s">
        <v>1</v>
      </c>
      <c r="D41" s="3">
        <f>COMBIN($C$40,D40)/COMBIN($C$1,D40)</f>
        <v>0.72</v>
      </c>
      <c r="E41" s="23">
        <f>COMBIN($C$40,E40)/COMBIN($C$1,E40)</f>
        <v>0.51</v>
      </c>
      <c r="F41" s="23">
        <f>COMBIN($C$40,F40)/COMBIN($C$1,F40)</f>
        <v>0.35478260869565215</v>
      </c>
      <c r="G41" s="23">
        <f>COMBIN($C$40,G40)/COMBIN($C$1,G40)</f>
        <v>0.24189723320158099</v>
      </c>
      <c r="H41" s="23">
        <f>COMBIN($C$40,H40)/COMBIN($C$1,H40)</f>
        <v>0.16126482213438736</v>
      </c>
      <c r="I41" s="23">
        <f>COMBIN($C$40,I40)/COMBIN($C$1,I40)</f>
        <v>0.10482213438735181</v>
      </c>
      <c r="J41" s="23">
        <f>COMBIN($C$40,J40)/COMBIN($C$1,J40)</f>
        <v>6.6203453297274784E-2</v>
      </c>
      <c r="K41" s="23">
        <f>COMBIN($C$40,K40)/COMBIN($C$1,K40)</f>
        <v>4.0457665903890161E-2</v>
      </c>
      <c r="L41" s="23">
        <f>COMBIN($C$40,L40)/COMBIN($C$1,L40)</f>
        <v>2.3798627002288325E-2</v>
      </c>
      <c r="M41" s="23">
        <f>COMBIN($C$40,M40)/COMBIN($C$1,M40)</f>
        <v>1.3386727688787188E-2</v>
      </c>
      <c r="N41" s="23">
        <f>COMBIN($C$40,N40)/COMBIN($C$1,N40)</f>
        <v>7.1395881006864979E-3</v>
      </c>
      <c r="O41" s="23">
        <f>COMBIN($C$40,O40)/COMBIN($C$1,O40)</f>
        <v>3.5697940503432494E-3</v>
      </c>
      <c r="P41" s="23">
        <f>COMBIN($C$40,P40)/COMBIN($C$1,P40)</f>
        <v>1.6475972540045763E-3</v>
      </c>
      <c r="Q41" s="23">
        <f>COMBIN($C$40,Q40)/COMBIN($C$1,Q40)</f>
        <v>6.8649885583524025E-4</v>
      </c>
      <c r="R41" s="23">
        <f>COMBIN($C$40,R40)/COMBIN($C$1,R40)</f>
        <v>2.4963594757645107E-4</v>
      </c>
      <c r="S41" s="23">
        <f>COMBIN($C$40,S40)/COMBIN($C$1,S40)</f>
        <v>7.4890784272935301E-5</v>
      </c>
      <c r="T41" s="23">
        <f>COMBIN($C$40,T40)/COMBIN($C$1,T40)</f>
        <v>1.6642396505096735E-5</v>
      </c>
      <c r="U41" s="23">
        <f>COMBIN($C$40,U40)/COMBIN($C$1,U40)</f>
        <v>2.080299563137091E-6</v>
      </c>
      <c r="V41" s="48"/>
      <c r="W41"/>
      <c r="X41"/>
      <c r="Y41"/>
      <c r="Z41"/>
      <c r="AA41"/>
      <c r="AB41"/>
    </row>
    <row r="42" spans="1:28" s="13" customFormat="1" x14ac:dyDescent="0.2">
      <c r="C42" s="11" t="s">
        <v>6</v>
      </c>
      <c r="D42" s="36">
        <f>1/D41</f>
        <v>1.3888888888888888</v>
      </c>
      <c r="E42" s="30">
        <f t="shared" ref="E42:U42" si="20">1/E41</f>
        <v>1.9607843137254901</v>
      </c>
      <c r="F42" s="30">
        <f t="shared" si="20"/>
        <v>2.8186274509803924</v>
      </c>
      <c r="G42" s="30">
        <f t="shared" si="20"/>
        <v>4.1339869281045756</v>
      </c>
      <c r="H42" s="30">
        <f t="shared" si="20"/>
        <v>6.200980392156862</v>
      </c>
      <c r="I42" s="30">
        <f t="shared" si="20"/>
        <v>9.5399698340874775</v>
      </c>
      <c r="J42" s="30">
        <f t="shared" si="20"/>
        <v>15.104952237305184</v>
      </c>
      <c r="K42" s="30">
        <f t="shared" si="20"/>
        <v>24.717194570135746</v>
      </c>
      <c r="L42" s="30">
        <f t="shared" si="20"/>
        <v>42.019230769230774</v>
      </c>
      <c r="M42" s="30">
        <f t="shared" si="20"/>
        <v>74.700854700854691</v>
      </c>
      <c r="N42" s="30">
        <f t="shared" si="20"/>
        <v>140.0641025641026</v>
      </c>
      <c r="O42" s="30">
        <f t="shared" si="20"/>
        <v>280.12820512820514</v>
      </c>
      <c r="P42" s="30">
        <f t="shared" si="20"/>
        <v>606.94444444444457</v>
      </c>
      <c r="Q42" s="30">
        <f t="shared" si="20"/>
        <v>1456.6666666666667</v>
      </c>
      <c r="R42" s="30">
        <f t="shared" si="20"/>
        <v>4005.8333333333326</v>
      </c>
      <c r="S42" s="30">
        <f t="shared" si="20"/>
        <v>13352.777777777777</v>
      </c>
      <c r="T42" s="30">
        <f t="shared" si="20"/>
        <v>60087.499999999993</v>
      </c>
      <c r="U42" s="30">
        <f t="shared" si="20"/>
        <v>480700.00000000017</v>
      </c>
      <c r="V42" s="49"/>
      <c r="W42"/>
      <c r="X42"/>
      <c r="Y42"/>
      <c r="Z42"/>
      <c r="AA42"/>
      <c r="AB42"/>
    </row>
    <row r="43" spans="1:28" s="13" customFormat="1" ht="16" thickBot="1" x14ac:dyDescent="0.25">
      <c r="C43" s="12" t="s">
        <v>8</v>
      </c>
      <c r="D43" s="7">
        <f>$F$1*D42</f>
        <v>1.3472222222222221</v>
      </c>
      <c r="E43" s="31">
        <f t="shared" ref="E43:U43" si="21">$F$1*E42</f>
        <v>1.9019607843137254</v>
      </c>
      <c r="F43" s="31">
        <f t="shared" si="21"/>
        <v>2.7340686274509807</v>
      </c>
      <c r="G43" s="31">
        <f t="shared" si="21"/>
        <v>4.0099673202614383</v>
      </c>
      <c r="H43" s="31">
        <f t="shared" si="21"/>
        <v>6.0149509803921557</v>
      </c>
      <c r="I43" s="31">
        <f t="shared" si="21"/>
        <v>9.2537707390648531</v>
      </c>
      <c r="J43" s="31">
        <f t="shared" si="21"/>
        <v>14.651803670186029</v>
      </c>
      <c r="K43" s="31">
        <f t="shared" si="21"/>
        <v>23.975678733031671</v>
      </c>
      <c r="L43" s="31">
        <f t="shared" si="21"/>
        <v>40.758653846153848</v>
      </c>
      <c r="M43" s="31">
        <f t="shared" si="21"/>
        <v>72.459829059829048</v>
      </c>
      <c r="N43" s="31">
        <f t="shared" si="21"/>
        <v>135.8621794871795</v>
      </c>
      <c r="O43" s="31">
        <f t="shared" si="21"/>
        <v>271.72435897435895</v>
      </c>
      <c r="P43" s="31">
        <f t="shared" si="21"/>
        <v>588.7361111111112</v>
      </c>
      <c r="Q43" s="31">
        <f t="shared" si="21"/>
        <v>1412.9666666666667</v>
      </c>
      <c r="R43" s="31">
        <f t="shared" si="21"/>
        <v>3885.6583333333324</v>
      </c>
      <c r="S43" s="31">
        <f t="shared" si="21"/>
        <v>12952.194444444443</v>
      </c>
      <c r="T43" s="31">
        <f t="shared" si="21"/>
        <v>58284.874999999993</v>
      </c>
      <c r="U43" s="31">
        <f t="shared" si="21"/>
        <v>466279.00000000017</v>
      </c>
      <c r="V43" s="50"/>
      <c r="W43"/>
      <c r="X43"/>
      <c r="Y43"/>
      <c r="Z43"/>
      <c r="AA43"/>
      <c r="AB43"/>
    </row>
    <row r="44" spans="1:28" ht="16" thickBot="1" x14ac:dyDescent="0.25"/>
    <row r="45" spans="1:28" s="13" customFormat="1" ht="16" thickBot="1" x14ac:dyDescent="0.25">
      <c r="A45" s="3" t="s">
        <v>21</v>
      </c>
      <c r="B45" s="14" t="s">
        <v>2</v>
      </c>
      <c r="C45" s="9" t="s">
        <v>3</v>
      </c>
      <c r="D45" s="55" t="s">
        <v>5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7"/>
      <c r="V45"/>
      <c r="W45"/>
      <c r="X45"/>
      <c r="Y45"/>
      <c r="Z45"/>
      <c r="AA45"/>
      <c r="AB45"/>
    </row>
    <row r="46" spans="1:28" s="13" customFormat="1" ht="16" thickBot="1" x14ac:dyDescent="0.25">
      <c r="A46" s="7"/>
      <c r="B46" s="9">
        <v>8</v>
      </c>
      <c r="C46" s="6">
        <f>$C$1-B46</f>
        <v>17</v>
      </c>
      <c r="D46" s="14">
        <v>1</v>
      </c>
      <c r="E46" s="15">
        <f>D46+1</f>
        <v>2</v>
      </c>
      <c r="F46" s="15">
        <f t="shared" ref="F46:U46" si="22">E46+1</f>
        <v>3</v>
      </c>
      <c r="G46" s="15">
        <f t="shared" si="22"/>
        <v>4</v>
      </c>
      <c r="H46" s="15">
        <f t="shared" si="22"/>
        <v>5</v>
      </c>
      <c r="I46" s="15">
        <f t="shared" si="22"/>
        <v>6</v>
      </c>
      <c r="J46" s="15">
        <f t="shared" si="22"/>
        <v>7</v>
      </c>
      <c r="K46" s="15">
        <f t="shared" si="22"/>
        <v>8</v>
      </c>
      <c r="L46" s="15">
        <f t="shared" si="22"/>
        <v>9</v>
      </c>
      <c r="M46" s="15">
        <f t="shared" si="22"/>
        <v>10</v>
      </c>
      <c r="N46" s="15">
        <f t="shared" si="22"/>
        <v>11</v>
      </c>
      <c r="O46" s="15">
        <f t="shared" si="22"/>
        <v>12</v>
      </c>
      <c r="P46" s="15">
        <f t="shared" si="22"/>
        <v>13</v>
      </c>
      <c r="Q46" s="15">
        <f t="shared" si="22"/>
        <v>14</v>
      </c>
      <c r="R46" s="15">
        <f t="shared" si="22"/>
        <v>15</v>
      </c>
      <c r="S46" s="15">
        <f t="shared" si="22"/>
        <v>16</v>
      </c>
      <c r="T46" s="15">
        <f t="shared" si="22"/>
        <v>17</v>
      </c>
      <c r="U46" s="16">
        <f t="shared" si="22"/>
        <v>18</v>
      </c>
      <c r="V46"/>
      <c r="W46"/>
      <c r="X46"/>
      <c r="Y46"/>
      <c r="Z46"/>
      <c r="AA46"/>
      <c r="AB46"/>
    </row>
    <row r="47" spans="1:28" s="13" customFormat="1" x14ac:dyDescent="0.2">
      <c r="C47" s="10" t="s">
        <v>1</v>
      </c>
      <c r="D47" s="5">
        <f>COMBIN($C$46,D46)/COMBIN($C$1,D46)</f>
        <v>0.68</v>
      </c>
      <c r="E47" s="13">
        <f>COMBIN($C$46,E46)/COMBIN($C$1,E46)</f>
        <v>0.45333333333333331</v>
      </c>
      <c r="F47" s="13">
        <f>COMBIN($C$46,F46)/COMBIN($C$1,F46)</f>
        <v>0.29565217391304349</v>
      </c>
      <c r="G47" s="13">
        <f>COMBIN($C$46,G46)/COMBIN($C$1,G46)</f>
        <v>0.18814229249011855</v>
      </c>
      <c r="H47" s="13">
        <f>COMBIN($C$46,H46)/COMBIN($C$1,H46)</f>
        <v>0.11646903820816867</v>
      </c>
      <c r="I47" s="13">
        <f>COMBIN($C$46,I46)/COMBIN($C$1,I46)</f>
        <v>6.9881422924901196E-2</v>
      </c>
      <c r="J47" s="13">
        <f>COMBIN($C$46,J46)/COMBIN($C$1,J46)</f>
        <v>4.0457665903890147E-2</v>
      </c>
      <c r="K47" s="13">
        <f>COMBIN($C$46,K46)/COMBIN($C$1,K46)</f>
        <v>2.2476481057716755E-2</v>
      </c>
      <c r="L47" s="13">
        <f>COMBIN($C$46,L46)/COMBIN($C$1,L46)</f>
        <v>1.1899313501144164E-2</v>
      </c>
      <c r="M47" s="13">
        <f>COMBIN($C$46,M46)/COMBIN($C$1,M46)</f>
        <v>5.949656750572083E-3</v>
      </c>
      <c r="N47" s="13">
        <f>COMBIN($C$46,N46)/COMBIN($C$1,N46)</f>
        <v>2.776506483600305E-3</v>
      </c>
      <c r="O47" s="13">
        <f>COMBIN($C$46,O46)/COMBIN($C$1,O46)</f>
        <v>1.1899313501144164E-3</v>
      </c>
      <c r="P47" s="13">
        <f>COMBIN($C$46,P46)/COMBIN($C$1,P46)</f>
        <v>4.576659038901601E-4</v>
      </c>
      <c r="Q47" s="13">
        <f>COMBIN($C$46,Q46)/COMBIN($C$1,Q46)</f>
        <v>1.5255530129672007E-4</v>
      </c>
      <c r="R47" s="13">
        <f>COMBIN($C$46,R46)/COMBIN($C$1,R46)</f>
        <v>4.1605991262741838E-5</v>
      </c>
      <c r="S47" s="13">
        <f>COMBIN($C$46,S46)/COMBIN($C$1,S46)</f>
        <v>8.3211982525483675E-6</v>
      </c>
      <c r="T47" s="13">
        <f>COMBIN($C$46,T46)/COMBIN($C$1,T46)</f>
        <v>9.245775836164852E-7</v>
      </c>
      <c r="U47" s="6"/>
      <c r="V47"/>
      <c r="W47"/>
      <c r="X47"/>
      <c r="Y47"/>
      <c r="Z47"/>
      <c r="AA47"/>
      <c r="AB47"/>
    </row>
    <row r="48" spans="1:28" s="13" customFormat="1" x14ac:dyDescent="0.2">
      <c r="C48" s="11" t="s">
        <v>6</v>
      </c>
      <c r="D48" s="5">
        <f>1/D47</f>
        <v>1.4705882352941175</v>
      </c>
      <c r="E48" s="13">
        <f t="shared" ref="E48:T48" si="23">1/E47</f>
        <v>2.2058823529411766</v>
      </c>
      <c r="F48" s="13">
        <f t="shared" si="23"/>
        <v>3.3823529411764706</v>
      </c>
      <c r="G48" s="13">
        <f t="shared" si="23"/>
        <v>5.3151260504201687</v>
      </c>
      <c r="H48" s="13">
        <f t="shared" si="23"/>
        <v>8.5859728506787309</v>
      </c>
      <c r="I48" s="13">
        <f t="shared" si="23"/>
        <v>14.309954751131219</v>
      </c>
      <c r="J48" s="13">
        <f t="shared" si="23"/>
        <v>24.717194570135753</v>
      </c>
      <c r="K48" s="13">
        <f t="shared" si="23"/>
        <v>44.490950226244344</v>
      </c>
      <c r="L48" s="13">
        <f t="shared" si="23"/>
        <v>84.038461538461547</v>
      </c>
      <c r="M48" s="13">
        <f t="shared" si="23"/>
        <v>168.07692307692307</v>
      </c>
      <c r="N48" s="13">
        <f t="shared" si="23"/>
        <v>360.16483516483521</v>
      </c>
      <c r="O48" s="13">
        <f t="shared" si="23"/>
        <v>840.38461538461547</v>
      </c>
      <c r="P48" s="13">
        <f t="shared" si="23"/>
        <v>2185.0000000000005</v>
      </c>
      <c r="Q48" s="13">
        <f t="shared" si="23"/>
        <v>6555</v>
      </c>
      <c r="R48" s="13">
        <f t="shared" si="23"/>
        <v>24035</v>
      </c>
      <c r="S48" s="13">
        <f t="shared" si="23"/>
        <v>120174.99999999999</v>
      </c>
      <c r="T48" s="13">
        <f t="shared" si="23"/>
        <v>1081575</v>
      </c>
      <c r="U48" s="6"/>
      <c r="V48"/>
      <c r="W48"/>
      <c r="X48"/>
      <c r="Y48"/>
      <c r="Z48"/>
      <c r="AA48"/>
      <c r="AB48"/>
    </row>
    <row r="49" spans="1:28" s="13" customFormat="1" ht="16" thickBot="1" x14ac:dyDescent="0.25">
      <c r="C49" s="12" t="s">
        <v>8</v>
      </c>
      <c r="D49" s="32">
        <f>$F$1*D48</f>
        <v>1.4264705882352939</v>
      </c>
      <c r="E49" s="31">
        <f t="shared" ref="E49:T49" si="24">$F$1*E48</f>
        <v>2.1397058823529411</v>
      </c>
      <c r="F49" s="31">
        <f t="shared" si="24"/>
        <v>3.2808823529411764</v>
      </c>
      <c r="G49" s="31">
        <f t="shared" si="24"/>
        <v>5.1556722689075638</v>
      </c>
      <c r="H49" s="31">
        <f t="shared" si="24"/>
        <v>8.3283936651583694</v>
      </c>
      <c r="I49" s="31">
        <f t="shared" si="24"/>
        <v>13.880656108597282</v>
      </c>
      <c r="J49" s="31">
        <f t="shared" si="24"/>
        <v>23.975678733031678</v>
      </c>
      <c r="K49" s="31">
        <f t="shared" si="24"/>
        <v>43.156221719457015</v>
      </c>
      <c r="L49" s="31">
        <f t="shared" si="24"/>
        <v>81.517307692307696</v>
      </c>
      <c r="M49" s="31">
        <f t="shared" si="24"/>
        <v>163.03461538461536</v>
      </c>
      <c r="N49" s="31">
        <f t="shared" si="24"/>
        <v>349.35989010989016</v>
      </c>
      <c r="O49" s="31">
        <f t="shared" si="24"/>
        <v>815.17307692307702</v>
      </c>
      <c r="P49" s="31">
        <f t="shared" si="24"/>
        <v>2119.4500000000003</v>
      </c>
      <c r="Q49" s="31">
        <f t="shared" si="24"/>
        <v>6358.3499999999995</v>
      </c>
      <c r="R49" s="31">
        <f t="shared" si="24"/>
        <v>23313.95</v>
      </c>
      <c r="S49" s="31">
        <f t="shared" si="24"/>
        <v>116569.74999999999</v>
      </c>
      <c r="T49" s="31">
        <f t="shared" si="24"/>
        <v>1049127.75</v>
      </c>
      <c r="U49" s="8"/>
      <c r="V49"/>
      <c r="W49"/>
      <c r="X49"/>
      <c r="Y49"/>
      <c r="Z49"/>
      <c r="AA49"/>
      <c r="AB49"/>
    </row>
    <row r="50" spans="1:28" ht="16" thickBot="1" x14ac:dyDescent="0.25"/>
    <row r="51" spans="1:28" s="13" customFormat="1" ht="16" thickBot="1" x14ac:dyDescent="0.25">
      <c r="A51" s="3" t="s">
        <v>22</v>
      </c>
      <c r="B51" s="14" t="s">
        <v>2</v>
      </c>
      <c r="C51" s="9" t="s">
        <v>3</v>
      </c>
      <c r="D51" s="55" t="s">
        <v>5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7"/>
      <c r="U51"/>
      <c r="V51"/>
      <c r="W51"/>
      <c r="X51"/>
      <c r="Y51"/>
      <c r="Z51"/>
      <c r="AA51"/>
      <c r="AB51"/>
    </row>
    <row r="52" spans="1:28" s="13" customFormat="1" ht="16" thickBot="1" x14ac:dyDescent="0.25">
      <c r="A52" s="7"/>
      <c r="B52" s="9">
        <v>9</v>
      </c>
      <c r="C52" s="6">
        <f>$C$1-B52</f>
        <v>16</v>
      </c>
      <c r="D52" s="14">
        <v>1</v>
      </c>
      <c r="E52" s="15">
        <f>D52+1</f>
        <v>2</v>
      </c>
      <c r="F52" s="15">
        <f t="shared" ref="F52:T52" si="25">E52+1</f>
        <v>3</v>
      </c>
      <c r="G52" s="15">
        <f t="shared" si="25"/>
        <v>4</v>
      </c>
      <c r="H52" s="15">
        <f t="shared" si="25"/>
        <v>5</v>
      </c>
      <c r="I52" s="15">
        <f t="shared" si="25"/>
        <v>6</v>
      </c>
      <c r="J52" s="15">
        <f t="shared" si="25"/>
        <v>7</v>
      </c>
      <c r="K52" s="15">
        <f t="shared" si="25"/>
        <v>8</v>
      </c>
      <c r="L52" s="15">
        <f t="shared" si="25"/>
        <v>9</v>
      </c>
      <c r="M52" s="15">
        <f t="shared" si="25"/>
        <v>10</v>
      </c>
      <c r="N52" s="15">
        <f t="shared" si="25"/>
        <v>11</v>
      </c>
      <c r="O52" s="15">
        <f t="shared" si="25"/>
        <v>12</v>
      </c>
      <c r="P52" s="15">
        <f t="shared" si="25"/>
        <v>13</v>
      </c>
      <c r="Q52" s="15">
        <f t="shared" si="25"/>
        <v>14</v>
      </c>
      <c r="R52" s="15">
        <f t="shared" si="25"/>
        <v>15</v>
      </c>
      <c r="S52" s="15">
        <f t="shared" si="25"/>
        <v>16</v>
      </c>
      <c r="T52" s="16">
        <f t="shared" si="25"/>
        <v>17</v>
      </c>
      <c r="U52"/>
      <c r="V52"/>
      <c r="W52"/>
      <c r="X52"/>
      <c r="Y52"/>
      <c r="Z52"/>
      <c r="AA52"/>
      <c r="AB52"/>
    </row>
    <row r="53" spans="1:28" s="13" customFormat="1" x14ac:dyDescent="0.2">
      <c r="C53" s="10" t="s">
        <v>1</v>
      </c>
      <c r="D53" s="5">
        <f>COMBIN($C$52,D52)/COMBIN($C$1,D52)</f>
        <v>0.64</v>
      </c>
      <c r="E53" s="17">
        <f>COMBIN($C$52,E52)/COMBIN($C$1,E52)</f>
        <v>0.4</v>
      </c>
      <c r="F53" s="17">
        <f>COMBIN($C$52,F52)/COMBIN($C$1,F52)</f>
        <v>0.24347826086956523</v>
      </c>
      <c r="G53" s="17">
        <f>COMBIN($C$52,G52)/COMBIN($C$1,G52)</f>
        <v>0.14387351778656127</v>
      </c>
      <c r="H53" s="17">
        <f>COMBIN($C$52,H52)/COMBIN($C$1,H52)</f>
        <v>8.2213438735177877E-2</v>
      </c>
      <c r="I53" s="17">
        <f>COMBIN($C$52,I52)/COMBIN($C$1,I52)</f>
        <v>4.5217391304347834E-2</v>
      </c>
      <c r="J53" s="17">
        <f>COMBIN($C$52,J52)/COMBIN($C$1,J52)</f>
        <v>2.3798627002288325E-2</v>
      </c>
      <c r="K53" s="17">
        <f>COMBIN($C$52,K52)/COMBIN($C$1,K52)</f>
        <v>1.1899313501144163E-2</v>
      </c>
      <c r="L53" s="17">
        <f>COMBIN($C$52,L52)/COMBIN($C$1,L52)</f>
        <v>5.599676941714901E-3</v>
      </c>
      <c r="M53" s="17">
        <f>COMBIN($C$52,M52)/COMBIN($C$1,M52)</f>
        <v>2.4498586620002698E-3</v>
      </c>
      <c r="N53" s="17">
        <f>COMBIN($C$52,N52)/COMBIN($C$1,N52)</f>
        <v>9.7994346480010774E-4</v>
      </c>
      <c r="O53" s="17">
        <f>COMBIN($C$52,O52)/COMBIN($C$1,O52)</f>
        <v>3.4997980885718131E-4</v>
      </c>
      <c r="P53" s="17">
        <f>COMBIN($C$52,P52)/COMBIN($C$1,P52)</f>
        <v>1.0768609503297885E-4</v>
      </c>
      <c r="Q53" s="17">
        <f>COMBIN($C$52,Q52)/COMBIN($C$1,Q52)</f>
        <v>2.6921523758244717E-5</v>
      </c>
      <c r="R53" s="17">
        <f>COMBIN($C$52,R52)/COMBIN($C$1,R52)</f>
        <v>4.89482250149904E-6</v>
      </c>
      <c r="S53" s="17">
        <f>COMBIN($C$52,S52)/COMBIN($C$1,S52)</f>
        <v>4.8948225014990389E-7</v>
      </c>
      <c r="T53" s="4"/>
      <c r="U53"/>
      <c r="V53"/>
      <c r="W53"/>
      <c r="X53"/>
      <c r="Y53"/>
      <c r="Z53"/>
      <c r="AA53"/>
      <c r="AB53"/>
    </row>
    <row r="54" spans="1:28" s="13" customFormat="1" x14ac:dyDescent="0.2">
      <c r="C54" s="11" t="s">
        <v>6</v>
      </c>
      <c r="D54" s="5">
        <f>1/D53</f>
        <v>1.5625</v>
      </c>
      <c r="E54" s="13">
        <f t="shared" ref="E54:S54" si="26">1/E53</f>
        <v>2.5</v>
      </c>
      <c r="F54" s="13">
        <f t="shared" si="26"/>
        <v>4.1071428571428568</v>
      </c>
      <c r="G54" s="13">
        <f t="shared" si="26"/>
        <v>6.9505494505494507</v>
      </c>
      <c r="H54" s="13">
        <f t="shared" si="26"/>
        <v>12.163461538461537</v>
      </c>
      <c r="I54" s="13">
        <f t="shared" si="26"/>
        <v>22.11538461538461</v>
      </c>
      <c r="J54" s="13">
        <f t="shared" si="26"/>
        <v>42.019230769230774</v>
      </c>
      <c r="K54" s="13">
        <f t="shared" si="26"/>
        <v>84.038461538461547</v>
      </c>
      <c r="L54" s="13">
        <f t="shared" si="26"/>
        <v>178.58173076923077</v>
      </c>
      <c r="M54" s="13">
        <f t="shared" si="26"/>
        <v>408.18681318681308</v>
      </c>
      <c r="N54" s="13">
        <f t="shared" si="26"/>
        <v>1020.4670329670329</v>
      </c>
      <c r="O54" s="13">
        <f t="shared" si="26"/>
        <v>2857.3076923076924</v>
      </c>
      <c r="P54" s="13">
        <f t="shared" si="26"/>
        <v>9286.2500000000018</v>
      </c>
      <c r="Q54" s="13">
        <f t="shared" si="26"/>
        <v>37145</v>
      </c>
      <c r="R54" s="13">
        <f t="shared" si="26"/>
        <v>204297.49999999997</v>
      </c>
      <c r="S54" s="13">
        <f t="shared" si="26"/>
        <v>2042975.0000000002</v>
      </c>
      <c r="T54" s="6"/>
      <c r="U54"/>
      <c r="V54"/>
      <c r="W54"/>
      <c r="X54"/>
      <c r="Y54"/>
      <c r="Z54"/>
      <c r="AA54"/>
      <c r="AB54"/>
    </row>
    <row r="55" spans="1:28" s="13" customFormat="1" ht="16" thickBot="1" x14ac:dyDescent="0.25">
      <c r="C55" s="12" t="s">
        <v>8</v>
      </c>
      <c r="D55" s="7">
        <f>$F$1*D54</f>
        <v>1.515625</v>
      </c>
      <c r="E55" s="18">
        <f t="shared" ref="E55:S55" si="27">$F$1*E54</f>
        <v>2.4249999999999998</v>
      </c>
      <c r="F55" s="28">
        <f t="shared" si="27"/>
        <v>3.9839285714285708</v>
      </c>
      <c r="G55" s="28">
        <f t="shared" si="27"/>
        <v>6.7420329670329666</v>
      </c>
      <c r="H55" s="28">
        <f t="shared" si="27"/>
        <v>11.798557692307691</v>
      </c>
      <c r="I55" s="28">
        <f t="shared" si="27"/>
        <v>21.45192307692307</v>
      </c>
      <c r="J55" s="28">
        <f t="shared" si="27"/>
        <v>40.758653846153848</v>
      </c>
      <c r="K55" s="28">
        <f t="shared" si="27"/>
        <v>81.517307692307696</v>
      </c>
      <c r="L55" s="28">
        <f t="shared" si="27"/>
        <v>173.22427884615385</v>
      </c>
      <c r="M55" s="28">
        <f t="shared" si="27"/>
        <v>395.94120879120868</v>
      </c>
      <c r="N55" s="28">
        <f t="shared" si="27"/>
        <v>989.85302197802184</v>
      </c>
      <c r="O55" s="28">
        <f t="shared" si="27"/>
        <v>2771.5884615384616</v>
      </c>
      <c r="P55" s="28">
        <f t="shared" si="27"/>
        <v>9007.6625000000022</v>
      </c>
      <c r="Q55" s="28">
        <f t="shared" si="27"/>
        <v>36030.65</v>
      </c>
      <c r="R55" s="28">
        <f t="shared" si="27"/>
        <v>198168.57499999995</v>
      </c>
      <c r="S55" s="28">
        <f t="shared" si="27"/>
        <v>1981685.7500000002</v>
      </c>
      <c r="T55" s="8"/>
      <c r="U55"/>
      <c r="V55"/>
      <c r="W55"/>
      <c r="X55"/>
      <c r="Y55"/>
      <c r="Z55"/>
      <c r="AA55"/>
      <c r="AB55"/>
    </row>
    <row r="56" spans="1:28" ht="16" thickBot="1" x14ac:dyDescent="0.25"/>
    <row r="57" spans="1:28" s="13" customFormat="1" ht="16" thickBot="1" x14ac:dyDescent="0.25">
      <c r="A57" s="3" t="s">
        <v>23</v>
      </c>
      <c r="B57" s="14" t="s">
        <v>2</v>
      </c>
      <c r="C57" s="9" t="s">
        <v>3</v>
      </c>
      <c r="D57" s="55" t="s">
        <v>5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7"/>
      <c r="T57"/>
      <c r="U57"/>
      <c r="V57"/>
      <c r="W57"/>
      <c r="X57"/>
      <c r="Y57"/>
      <c r="Z57"/>
      <c r="AA57"/>
      <c r="AB57"/>
    </row>
    <row r="58" spans="1:28" s="13" customFormat="1" ht="16" thickBot="1" x14ac:dyDescent="0.25">
      <c r="A58" s="7"/>
      <c r="B58" s="9">
        <v>10</v>
      </c>
      <c r="C58" s="6">
        <f>$C$1-B58</f>
        <v>15</v>
      </c>
      <c r="D58" s="14">
        <v>1</v>
      </c>
      <c r="E58" s="15">
        <f>D58+1</f>
        <v>2</v>
      </c>
      <c r="F58" s="15">
        <f t="shared" ref="F58:S58" si="28">E58+1</f>
        <v>3</v>
      </c>
      <c r="G58" s="15">
        <f t="shared" si="28"/>
        <v>4</v>
      </c>
      <c r="H58" s="15">
        <f t="shared" si="28"/>
        <v>5</v>
      </c>
      <c r="I58" s="15">
        <f t="shared" si="28"/>
        <v>6</v>
      </c>
      <c r="J58" s="15">
        <f t="shared" si="28"/>
        <v>7</v>
      </c>
      <c r="K58" s="15">
        <f t="shared" si="28"/>
        <v>8</v>
      </c>
      <c r="L58" s="15">
        <f t="shared" si="28"/>
        <v>9</v>
      </c>
      <c r="M58" s="15">
        <f t="shared" si="28"/>
        <v>10</v>
      </c>
      <c r="N58" s="15">
        <f t="shared" si="28"/>
        <v>11</v>
      </c>
      <c r="O58" s="15">
        <f t="shared" si="28"/>
        <v>12</v>
      </c>
      <c r="P58" s="15">
        <f t="shared" si="28"/>
        <v>13</v>
      </c>
      <c r="Q58" s="15">
        <f t="shared" si="28"/>
        <v>14</v>
      </c>
      <c r="R58" s="15">
        <f t="shared" si="28"/>
        <v>15</v>
      </c>
      <c r="S58" s="16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3" customFormat="1" x14ac:dyDescent="0.2">
      <c r="C59" s="10" t="s">
        <v>1</v>
      </c>
      <c r="D59" s="3">
        <f>COMBIN($C$58,D58)/COMBIN($C$1,D58)</f>
        <v>0.6</v>
      </c>
      <c r="E59" s="17">
        <f>COMBIN($C$58,E58)/COMBIN($C$1,E58)</f>
        <v>0.35</v>
      </c>
      <c r="F59" s="17">
        <f>COMBIN($C$58,F58)/COMBIN($C$1,F58)</f>
        <v>0.19782608695652176</v>
      </c>
      <c r="G59" s="17">
        <f>COMBIN($C$58,G58)/COMBIN($C$1,G58)</f>
        <v>0.10790513833992094</v>
      </c>
      <c r="H59" s="17">
        <f>COMBIN($C$58,H58)/COMBIN($C$1,H58)</f>
        <v>5.6521739130434789E-2</v>
      </c>
      <c r="I59" s="17">
        <f>COMBIN($C$58,I58)/COMBIN($C$1,I58)</f>
        <v>2.8260869565217395E-2</v>
      </c>
      <c r="J59" s="17">
        <f>COMBIN($C$58,J58)/COMBIN($C$1,J58)</f>
        <v>1.3386727688787179E-2</v>
      </c>
      <c r="K59" s="17">
        <f>COMBIN($C$58,K58)/COMBIN($C$1,K58)</f>
        <v>5.9496567505720813E-3</v>
      </c>
      <c r="L59" s="17">
        <f>COMBIN($C$58,L58)/COMBIN($C$1,L58)</f>
        <v>2.4498586620002693E-3</v>
      </c>
      <c r="M59" s="17">
        <f>COMBIN($C$58,M58)/COMBIN($C$1,M58)</f>
        <v>9.1869699825010106E-4</v>
      </c>
      <c r="N59" s="17">
        <f>COMBIN($C$58,N58)/COMBIN($C$1,N58)</f>
        <v>3.0623233275003367E-4</v>
      </c>
      <c r="O59" s="17">
        <f>COMBIN($C$58,O58)/COMBIN($C$1,O58)</f>
        <v>8.7494952214295328E-5</v>
      </c>
      <c r="P59" s="17">
        <f>COMBIN($C$58,P58)/COMBIN($C$1,P58)</f>
        <v>2.0191142818683533E-5</v>
      </c>
      <c r="Q59" s="17">
        <f>COMBIN($C$58,Q58)/COMBIN($C$1,Q58)</f>
        <v>3.3651904697805896E-6</v>
      </c>
      <c r="R59" s="17">
        <f>COMBIN($C$58,R58)/COMBIN($C$1,R58)</f>
        <v>3.0592640634369E-7</v>
      </c>
      <c r="S59" s="4"/>
      <c r="T59"/>
      <c r="U59"/>
      <c r="V59"/>
      <c r="W59"/>
      <c r="X59"/>
      <c r="Y59"/>
      <c r="Z59"/>
      <c r="AA59"/>
      <c r="AB59"/>
    </row>
    <row r="60" spans="1:28" s="13" customFormat="1" x14ac:dyDescent="0.2">
      <c r="C60" s="11" t="s">
        <v>6</v>
      </c>
      <c r="D60" s="5">
        <f>1/D59</f>
        <v>1.6666666666666667</v>
      </c>
      <c r="E60" s="13">
        <f t="shared" ref="E60:R60" si="29">1/E59</f>
        <v>2.8571428571428572</v>
      </c>
      <c r="F60" s="13">
        <f t="shared" si="29"/>
        <v>5.0549450549450547</v>
      </c>
      <c r="G60" s="13">
        <f t="shared" si="29"/>
        <v>9.2673992673992682</v>
      </c>
      <c r="H60" s="13">
        <f t="shared" si="29"/>
        <v>17.69230769230769</v>
      </c>
      <c r="I60" s="13">
        <f t="shared" si="29"/>
        <v>35.38461538461538</v>
      </c>
      <c r="J60" s="13">
        <f t="shared" si="29"/>
        <v>74.700854700854734</v>
      </c>
      <c r="K60" s="13">
        <f t="shared" si="29"/>
        <v>168.07692307692309</v>
      </c>
      <c r="L60" s="13">
        <f t="shared" si="29"/>
        <v>408.18681318681314</v>
      </c>
      <c r="M60" s="13">
        <f t="shared" si="29"/>
        <v>1088.4981684981683</v>
      </c>
      <c r="N60" s="13">
        <f t="shared" si="29"/>
        <v>3265.4945054945051</v>
      </c>
      <c r="O60" s="13">
        <f t="shared" si="29"/>
        <v>11429.23076923077</v>
      </c>
      <c r="P60" s="13">
        <f t="shared" si="29"/>
        <v>49526.666666666679</v>
      </c>
      <c r="Q60" s="13">
        <f t="shared" si="29"/>
        <v>297160</v>
      </c>
      <c r="R60" s="13">
        <f t="shared" si="29"/>
        <v>3268759.9999999995</v>
      </c>
      <c r="S60" s="6"/>
      <c r="T60"/>
      <c r="U60"/>
      <c r="V60"/>
      <c r="W60"/>
      <c r="X60"/>
      <c r="Y60"/>
      <c r="Z60"/>
      <c r="AA60"/>
      <c r="AB60"/>
    </row>
    <row r="61" spans="1:28" s="13" customFormat="1" ht="16" thickBot="1" x14ac:dyDescent="0.25">
      <c r="C61" s="12" t="s">
        <v>8</v>
      </c>
      <c r="D61" s="7">
        <f>$F$1*D60</f>
        <v>1.6166666666666667</v>
      </c>
      <c r="E61" s="18">
        <f t="shared" ref="E61:R61" si="30">$F$1*E60</f>
        <v>2.7714285714285714</v>
      </c>
      <c r="F61" s="18">
        <f t="shared" si="30"/>
        <v>4.9032967032967028</v>
      </c>
      <c r="G61" s="18">
        <f t="shared" si="30"/>
        <v>8.9893772893772894</v>
      </c>
      <c r="H61" s="18">
        <f t="shared" si="30"/>
        <v>17.161538461538459</v>
      </c>
      <c r="I61" s="18">
        <f t="shared" si="30"/>
        <v>34.323076923076918</v>
      </c>
      <c r="J61" s="18">
        <f t="shared" si="30"/>
        <v>72.45982905982909</v>
      </c>
      <c r="K61" s="18">
        <f t="shared" si="30"/>
        <v>163.03461538461539</v>
      </c>
      <c r="L61" s="18">
        <f t="shared" si="30"/>
        <v>395.94120879120874</v>
      </c>
      <c r="M61" s="18">
        <f t="shared" si="30"/>
        <v>1055.8432234432232</v>
      </c>
      <c r="N61" s="18">
        <f t="shared" si="30"/>
        <v>3167.5296703296699</v>
      </c>
      <c r="O61" s="18">
        <f t="shared" si="30"/>
        <v>11086.353846153846</v>
      </c>
      <c r="P61" s="18">
        <f t="shared" si="30"/>
        <v>48040.866666666676</v>
      </c>
      <c r="Q61" s="18">
        <f t="shared" si="30"/>
        <v>288245.2</v>
      </c>
      <c r="R61" s="18">
        <f t="shared" si="30"/>
        <v>3170697.1999999993</v>
      </c>
      <c r="S61" s="8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3" customFormat="1" ht="16" thickBot="1" x14ac:dyDescent="0.25">
      <c r="A63" s="3" t="s">
        <v>24</v>
      </c>
      <c r="B63" s="14" t="s">
        <v>2</v>
      </c>
      <c r="C63" s="9" t="s">
        <v>3</v>
      </c>
      <c r="D63" s="55" t="s">
        <v>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7"/>
      <c r="S63"/>
      <c r="T63"/>
      <c r="U63"/>
      <c r="V63"/>
      <c r="W63"/>
      <c r="X63"/>
      <c r="Y63"/>
      <c r="Z63"/>
      <c r="AA63"/>
      <c r="AB63"/>
    </row>
    <row r="64" spans="1:28" s="13" customFormat="1" ht="16" thickBot="1" x14ac:dyDescent="0.25">
      <c r="A64" s="7"/>
      <c r="B64" s="9">
        <v>11</v>
      </c>
      <c r="C64" s="6">
        <f>$C$1-B64</f>
        <v>14</v>
      </c>
      <c r="D64" s="14">
        <v>1</v>
      </c>
      <c r="E64" s="15">
        <f>D64+1</f>
        <v>2</v>
      </c>
      <c r="F64" s="15">
        <f t="shared" ref="F64:R64" si="31">E64+1</f>
        <v>3</v>
      </c>
      <c r="G64" s="15">
        <f t="shared" si="31"/>
        <v>4</v>
      </c>
      <c r="H64" s="15">
        <f t="shared" si="31"/>
        <v>5</v>
      </c>
      <c r="I64" s="15">
        <f t="shared" si="31"/>
        <v>6</v>
      </c>
      <c r="J64" s="15">
        <f t="shared" si="31"/>
        <v>7</v>
      </c>
      <c r="K64" s="15">
        <f t="shared" si="31"/>
        <v>8</v>
      </c>
      <c r="L64" s="15">
        <f t="shared" si="31"/>
        <v>9</v>
      </c>
      <c r="M64" s="15">
        <f t="shared" si="31"/>
        <v>10</v>
      </c>
      <c r="N64" s="15">
        <f t="shared" si="31"/>
        <v>11</v>
      </c>
      <c r="O64" s="15">
        <f t="shared" si="31"/>
        <v>12</v>
      </c>
      <c r="P64" s="15">
        <f t="shared" si="31"/>
        <v>13</v>
      </c>
      <c r="Q64" s="15">
        <f t="shared" si="31"/>
        <v>14</v>
      </c>
      <c r="R64" s="16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3" customFormat="1" x14ac:dyDescent="0.2">
      <c r="C65" s="10" t="s">
        <v>1</v>
      </c>
      <c r="D65" s="3">
        <f>COMBIN($C$64,D64)/COMBIN($C$1,D64)</f>
        <v>0.56000000000000005</v>
      </c>
      <c r="E65" s="17">
        <f>COMBIN($C$64,E64)/COMBIN($C$1,E64)</f>
        <v>0.30333333333333334</v>
      </c>
      <c r="F65" s="17">
        <f>COMBIN($C$64,F64)/COMBIN($C$1,F64)</f>
        <v>0.1582608695652174</v>
      </c>
      <c r="G65" s="17">
        <f>COMBIN($C$64,G64)/COMBIN($C$1,G64)</f>
        <v>7.9130434782608686E-2</v>
      </c>
      <c r="H65" s="17">
        <f>COMBIN($C$64,H64)/COMBIN($C$1,H64)</f>
        <v>3.7681159420289857E-2</v>
      </c>
      <c r="I65" s="17">
        <f>COMBIN($C$64,I64)/COMBIN($C$1,I64)</f>
        <v>1.6956521739130436E-2</v>
      </c>
      <c r="J65" s="17">
        <f>COMBIN($C$64,J64)/COMBIN($C$1,J64)</f>
        <v>7.139588100686497E-3</v>
      </c>
      <c r="K65" s="17">
        <f>COMBIN($C$64,K64)/COMBIN($C$1,K64)</f>
        <v>2.7765064836003045E-3</v>
      </c>
      <c r="L65" s="17">
        <f>COMBIN($C$64,L64)/COMBIN($C$1,L64)</f>
        <v>9.7994346480010774E-4</v>
      </c>
      <c r="M65" s="17">
        <f>COMBIN($C$64,M64)/COMBIN($C$1,M64)</f>
        <v>3.0623233275003372E-4</v>
      </c>
      <c r="N65" s="17">
        <f>COMBIN($C$64,N64)/COMBIN($C$1,N64)</f>
        <v>8.1661955400008974E-5</v>
      </c>
      <c r="O65" s="17">
        <f>COMBIN($C$64,O64)/COMBIN($C$1,O64)</f>
        <v>1.7498990442859063E-5</v>
      </c>
      <c r="P65" s="17">
        <f>COMBIN($C$64,P64)/COMBIN($C$1,P64)</f>
        <v>2.6921523758244713E-6</v>
      </c>
      <c r="Q65" s="17">
        <f>COMBIN($C$64,Q64)/COMBIN($C$1,Q64)</f>
        <v>2.2434603131870596E-7</v>
      </c>
      <c r="R65" s="4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3" customFormat="1" x14ac:dyDescent="0.2">
      <c r="C66" s="11" t="s">
        <v>6</v>
      </c>
      <c r="D66" s="37">
        <f>1/D65</f>
        <v>1.7857142857142856</v>
      </c>
      <c r="E66" s="24">
        <f t="shared" ref="E66:Q66" si="33">1/E65</f>
        <v>3.2967032967032965</v>
      </c>
      <c r="F66" s="24">
        <f t="shared" si="33"/>
        <v>6.3186813186813184</v>
      </c>
      <c r="G66" s="24">
        <f t="shared" si="33"/>
        <v>12.637362637362639</v>
      </c>
      <c r="H66" s="24">
        <f t="shared" si="33"/>
        <v>26.538461538461537</v>
      </c>
      <c r="I66" s="24">
        <f t="shared" si="33"/>
        <v>58.974358974358971</v>
      </c>
      <c r="J66" s="24">
        <f t="shared" si="33"/>
        <v>140.0641025641026</v>
      </c>
      <c r="K66" s="24">
        <f t="shared" si="33"/>
        <v>360.16483516483527</v>
      </c>
      <c r="L66" s="24">
        <f t="shared" si="33"/>
        <v>1020.4670329670329</v>
      </c>
      <c r="M66" s="24">
        <f t="shared" si="33"/>
        <v>3265.4945054945047</v>
      </c>
      <c r="N66" s="24">
        <f t="shared" si="33"/>
        <v>12245.604395604396</v>
      </c>
      <c r="O66" s="24">
        <f t="shared" si="33"/>
        <v>57146.153846153858</v>
      </c>
      <c r="P66" s="24">
        <f t="shared" si="33"/>
        <v>371450.00000000006</v>
      </c>
      <c r="Q66" s="24">
        <f t="shared" si="33"/>
        <v>4457400</v>
      </c>
      <c r="R66" s="6"/>
      <c r="S66"/>
      <c r="T66"/>
      <c r="U66"/>
      <c r="V66"/>
      <c r="W66"/>
      <c r="X66"/>
      <c r="Y66"/>
      <c r="Z66"/>
      <c r="AA66"/>
      <c r="AB66"/>
    </row>
    <row r="67" spans="1:28" s="13" customFormat="1" ht="16" thickBot="1" x14ac:dyDescent="0.25">
      <c r="C67" s="12" t="s">
        <v>8</v>
      </c>
      <c r="D67" s="34">
        <f>$F$1*D66</f>
        <v>1.732142857142857</v>
      </c>
      <c r="E67" s="25">
        <f t="shared" ref="E67:Q67" si="34">$F$1*E66</f>
        <v>3.1978021978021975</v>
      </c>
      <c r="F67" s="25">
        <f t="shared" si="34"/>
        <v>6.1291208791208787</v>
      </c>
      <c r="G67" s="25">
        <f t="shared" si="34"/>
        <v>12.258241758241759</v>
      </c>
      <c r="H67" s="25">
        <f t="shared" si="34"/>
        <v>25.742307692307691</v>
      </c>
      <c r="I67" s="25">
        <f t="shared" si="34"/>
        <v>57.205128205128197</v>
      </c>
      <c r="J67" s="25">
        <f t="shared" si="34"/>
        <v>135.8621794871795</v>
      </c>
      <c r="K67" s="25">
        <f t="shared" si="34"/>
        <v>349.35989010989022</v>
      </c>
      <c r="L67" s="25">
        <f t="shared" si="34"/>
        <v>989.85302197802184</v>
      </c>
      <c r="M67" s="25">
        <f t="shared" si="34"/>
        <v>3167.5296703296694</v>
      </c>
      <c r="N67" s="25">
        <f t="shared" si="34"/>
        <v>11878.236263736264</v>
      </c>
      <c r="O67" s="25">
        <f t="shared" si="34"/>
        <v>55431.769230769241</v>
      </c>
      <c r="P67" s="25">
        <f t="shared" si="34"/>
        <v>360306.50000000006</v>
      </c>
      <c r="Q67" s="25">
        <f t="shared" si="34"/>
        <v>4323678</v>
      </c>
      <c r="R67" s="8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3" customFormat="1" ht="16" thickBot="1" x14ac:dyDescent="0.25">
      <c r="A69" s="3" t="s">
        <v>25</v>
      </c>
      <c r="B69" s="14" t="s">
        <v>2</v>
      </c>
      <c r="C69" s="9" t="s">
        <v>3</v>
      </c>
      <c r="D69" s="55" t="s">
        <v>5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7"/>
      <c r="R69"/>
      <c r="S69"/>
      <c r="T69"/>
      <c r="U69"/>
      <c r="V69"/>
      <c r="W69"/>
      <c r="X69"/>
      <c r="Y69"/>
      <c r="Z69"/>
      <c r="AA69"/>
      <c r="AB69"/>
    </row>
    <row r="70" spans="1:28" s="13" customFormat="1" ht="16" thickBot="1" x14ac:dyDescent="0.25">
      <c r="A70" s="7"/>
      <c r="B70" s="9">
        <v>12</v>
      </c>
      <c r="C70" s="6">
        <f>$C$1-B70</f>
        <v>13</v>
      </c>
      <c r="D70" s="14">
        <v>1</v>
      </c>
      <c r="E70" s="15">
        <f>D70+1</f>
        <v>2</v>
      </c>
      <c r="F70" s="15">
        <f t="shared" ref="F70:Q70" si="35">E70+1</f>
        <v>3</v>
      </c>
      <c r="G70" s="15">
        <f t="shared" si="35"/>
        <v>4</v>
      </c>
      <c r="H70" s="15">
        <f t="shared" si="35"/>
        <v>5</v>
      </c>
      <c r="I70" s="15">
        <f t="shared" si="35"/>
        <v>6</v>
      </c>
      <c r="J70" s="15">
        <f t="shared" si="35"/>
        <v>7</v>
      </c>
      <c r="K70" s="15">
        <f t="shared" si="35"/>
        <v>8</v>
      </c>
      <c r="L70" s="15">
        <f t="shared" si="35"/>
        <v>9</v>
      </c>
      <c r="M70" s="15">
        <f t="shared" si="35"/>
        <v>10</v>
      </c>
      <c r="N70" s="15">
        <f t="shared" si="35"/>
        <v>11</v>
      </c>
      <c r="O70" s="15">
        <f t="shared" si="35"/>
        <v>12</v>
      </c>
      <c r="P70" s="15">
        <f t="shared" si="35"/>
        <v>13</v>
      </c>
      <c r="Q70" s="16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3" customFormat="1" x14ac:dyDescent="0.2">
      <c r="C71" s="10" t="s">
        <v>1</v>
      </c>
      <c r="D71" s="3">
        <f>COMBIN($C$70,D70)/COMBIN($C$1,D70)</f>
        <v>0.52</v>
      </c>
      <c r="E71" s="17">
        <f>COMBIN($C$70,E70)/COMBIN($C$1,E70)</f>
        <v>0.26</v>
      </c>
      <c r="F71" s="17">
        <f>COMBIN($C$70,F70)/COMBIN($C$1,F70)</f>
        <v>0.12434782608695652</v>
      </c>
      <c r="G71" s="17">
        <f>COMBIN($C$70,G70)/COMBIN($C$1,G70)</f>
        <v>5.6521739130434775E-2</v>
      </c>
      <c r="H71" s="17">
        <f>COMBIN($C$70,H70)/COMBIN($C$1,H70)</f>
        <v>2.4223602484472053E-2</v>
      </c>
      <c r="I71" s="17">
        <f>COMBIN($C$70,I70)/COMBIN($C$1,I70)</f>
        <v>9.6894409937888209E-3</v>
      </c>
      <c r="J71" s="17">
        <f>COMBIN($C$70,J70)/COMBIN($C$1,J70)</f>
        <v>3.5697940503432485E-3</v>
      </c>
      <c r="K71" s="17">
        <f>COMBIN($C$70,K70)/COMBIN($C$1,K70)</f>
        <v>1.1899313501144164E-3</v>
      </c>
      <c r="L71" s="17">
        <f>COMBIN($C$70,L70)/COMBIN($C$1,L70)</f>
        <v>3.4997980885718131E-4</v>
      </c>
      <c r="M71" s="17">
        <f>COMBIN($C$70,M70)/COMBIN($C$1,M70)</f>
        <v>8.7494952214295341E-5</v>
      </c>
      <c r="N71" s="17">
        <f>COMBIN($C$70,N70)/COMBIN($C$1,N70)</f>
        <v>1.7498990442859066E-5</v>
      </c>
      <c r="O71" s="17">
        <f>COMBIN($C$70,O70)/COMBIN($C$1,O70)</f>
        <v>2.4998557775512948E-6</v>
      </c>
      <c r="P71" s="17">
        <f>COMBIN($C$70,P70)/COMBIN($C$1,P70)</f>
        <v>1.9229659827317651E-7</v>
      </c>
      <c r="Q71" s="4"/>
      <c r="R71"/>
      <c r="S71"/>
      <c r="T71"/>
      <c r="U71"/>
      <c r="V71"/>
      <c r="W71"/>
      <c r="X71"/>
      <c r="Y71"/>
      <c r="Z71"/>
      <c r="AA71"/>
      <c r="AB71"/>
    </row>
    <row r="72" spans="1:28" s="13" customFormat="1" x14ac:dyDescent="0.2">
      <c r="C72" s="11" t="s">
        <v>6</v>
      </c>
      <c r="D72" s="5">
        <f>1/D71</f>
        <v>1.9230769230769229</v>
      </c>
      <c r="E72" s="13">
        <f t="shared" ref="E72:P72" si="36">1/E71</f>
        <v>3.8461538461538458</v>
      </c>
      <c r="F72" s="13">
        <f t="shared" si="36"/>
        <v>8.0419580419580416</v>
      </c>
      <c r="G72" s="13">
        <f t="shared" si="36"/>
        <v>17.692307692307693</v>
      </c>
      <c r="H72" s="13">
        <f t="shared" si="36"/>
        <v>41.282051282051277</v>
      </c>
      <c r="I72" s="13">
        <f t="shared" si="36"/>
        <v>103.20512820512819</v>
      </c>
      <c r="J72" s="13">
        <f t="shared" si="36"/>
        <v>280.1282051282052</v>
      </c>
      <c r="K72" s="13">
        <f t="shared" si="36"/>
        <v>840.38461538461547</v>
      </c>
      <c r="L72" s="13">
        <f t="shared" si="36"/>
        <v>2857.3076923076924</v>
      </c>
      <c r="M72" s="13">
        <f t="shared" si="36"/>
        <v>11429.230769230768</v>
      </c>
      <c r="N72" s="13">
        <f t="shared" si="36"/>
        <v>57146.153846153844</v>
      </c>
      <c r="O72" s="13">
        <f t="shared" si="36"/>
        <v>400023.07692307699</v>
      </c>
      <c r="P72" s="13">
        <f t="shared" si="36"/>
        <v>5200300.0000000009</v>
      </c>
      <c r="Q72" s="6"/>
      <c r="R72"/>
      <c r="S72"/>
      <c r="T72"/>
      <c r="U72"/>
      <c r="V72"/>
      <c r="W72"/>
      <c r="X72"/>
      <c r="Y72"/>
      <c r="Z72"/>
      <c r="AA72"/>
      <c r="AB72"/>
    </row>
    <row r="73" spans="1:28" s="13" customFormat="1" ht="16" thickBot="1" x14ac:dyDescent="0.25">
      <c r="C73" s="12" t="s">
        <v>8</v>
      </c>
      <c r="D73" s="7">
        <f>$F$1*D72</f>
        <v>1.8653846153846152</v>
      </c>
      <c r="E73" s="18">
        <f t="shared" ref="E73:P73" si="37">$F$1*E72</f>
        <v>3.7307692307692304</v>
      </c>
      <c r="F73" s="18">
        <f t="shared" si="37"/>
        <v>7.8006993006993</v>
      </c>
      <c r="G73" s="18">
        <f t="shared" si="37"/>
        <v>17.161538461538463</v>
      </c>
      <c r="H73" s="18">
        <f t="shared" si="37"/>
        <v>40.043589743589735</v>
      </c>
      <c r="I73" s="18">
        <f t="shared" si="37"/>
        <v>100.10897435897434</v>
      </c>
      <c r="J73" s="18">
        <f t="shared" si="37"/>
        <v>271.72435897435901</v>
      </c>
      <c r="K73" s="18">
        <f t="shared" si="37"/>
        <v>815.17307692307702</v>
      </c>
      <c r="L73" s="18">
        <f t="shared" si="37"/>
        <v>2771.5884615384616</v>
      </c>
      <c r="M73" s="18">
        <f t="shared" si="37"/>
        <v>11086.353846153845</v>
      </c>
      <c r="N73" s="18">
        <f t="shared" si="37"/>
        <v>55431.769230769227</v>
      </c>
      <c r="O73" s="18">
        <f t="shared" si="37"/>
        <v>388022.38461538468</v>
      </c>
      <c r="P73" s="18">
        <f t="shared" si="37"/>
        <v>5044291.0000000009</v>
      </c>
      <c r="Q73" s="8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3" customFormat="1" ht="16" thickBot="1" x14ac:dyDescent="0.25">
      <c r="A75" s="3" t="s">
        <v>26</v>
      </c>
      <c r="B75" s="14" t="s">
        <v>2</v>
      </c>
      <c r="C75" s="9" t="s">
        <v>3</v>
      </c>
      <c r="D75" s="55" t="s">
        <v>5</v>
      </c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7"/>
      <c r="Q75"/>
      <c r="R75"/>
      <c r="S75"/>
      <c r="T75"/>
      <c r="U75"/>
      <c r="V75"/>
      <c r="W75"/>
      <c r="X75"/>
      <c r="Y75"/>
      <c r="Z75"/>
      <c r="AA75"/>
      <c r="AB75"/>
    </row>
    <row r="76" spans="1:28" s="13" customFormat="1" ht="16" thickBot="1" x14ac:dyDescent="0.25">
      <c r="A76" s="7"/>
      <c r="B76" s="9">
        <v>13</v>
      </c>
      <c r="C76" s="6">
        <f>$C$1-B76</f>
        <v>12</v>
      </c>
      <c r="D76" s="14">
        <v>1</v>
      </c>
      <c r="E76" s="15">
        <f>D76+1</f>
        <v>2</v>
      </c>
      <c r="F76" s="15">
        <f t="shared" ref="F76:P76" si="38">E76+1</f>
        <v>3</v>
      </c>
      <c r="G76" s="15">
        <f t="shared" si="38"/>
        <v>4</v>
      </c>
      <c r="H76" s="15">
        <f t="shared" si="38"/>
        <v>5</v>
      </c>
      <c r="I76" s="15">
        <f t="shared" si="38"/>
        <v>6</v>
      </c>
      <c r="J76" s="15">
        <f t="shared" si="38"/>
        <v>7</v>
      </c>
      <c r="K76" s="15">
        <f t="shared" si="38"/>
        <v>8</v>
      </c>
      <c r="L76" s="15">
        <f t="shared" si="38"/>
        <v>9</v>
      </c>
      <c r="M76" s="15">
        <f t="shared" si="38"/>
        <v>10</v>
      </c>
      <c r="N76" s="15">
        <f t="shared" si="38"/>
        <v>11</v>
      </c>
      <c r="O76" s="15">
        <f t="shared" si="38"/>
        <v>12</v>
      </c>
      <c r="P76" s="16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3" customFormat="1" x14ac:dyDescent="0.2">
      <c r="C77" s="10" t="s">
        <v>1</v>
      </c>
      <c r="D77" s="3">
        <f>COMBIN($C$76,D76)/COMBIN($C$1,D76)</f>
        <v>0.48</v>
      </c>
      <c r="E77" s="17">
        <f>COMBIN($C$76,E76)/COMBIN($C$1,E76)</f>
        <v>0.22</v>
      </c>
      <c r="F77" s="17">
        <f>COMBIN($C$76,F76)/COMBIN($C$1,F76)</f>
        <v>9.5652173913043481E-2</v>
      </c>
      <c r="G77" s="17">
        <f>COMBIN($C$76,G76)/COMBIN($C$1,G76)</f>
        <v>3.9130434782608692E-2</v>
      </c>
      <c r="H77" s="17">
        <f>COMBIN($C$76,H76)/COMBIN($C$1,H76)</f>
        <v>1.4906832298136647E-2</v>
      </c>
      <c r="I77" s="17">
        <f>COMBIN($C$76,I76)/COMBIN($C$1,I76)</f>
        <v>5.2173913043478256E-3</v>
      </c>
      <c r="J77" s="17">
        <f>COMBIN($C$76,J76)/COMBIN($C$1,J76)</f>
        <v>1.6475972540045763E-3</v>
      </c>
      <c r="K77" s="17">
        <f>COMBIN($C$76,K76)/COMBIN($C$1,K76)</f>
        <v>4.5766590389016021E-4</v>
      </c>
      <c r="L77" s="17">
        <f>COMBIN($C$76,L76)/COMBIN($C$1,L76)</f>
        <v>1.0768609503297887E-4</v>
      </c>
      <c r="M77" s="17">
        <f>COMBIN($C$76,M76)/COMBIN($C$1,M76)</f>
        <v>2.0191142818683539E-5</v>
      </c>
      <c r="N77" s="17">
        <f>COMBIN($C$76,N76)/COMBIN($C$1,N76)</f>
        <v>2.6921523758244718E-6</v>
      </c>
      <c r="O77" s="17">
        <f>COMBIN($C$76,O76)/COMBIN($C$1,O76)</f>
        <v>1.9229659827317651E-7</v>
      </c>
      <c r="P77" s="4"/>
      <c r="Q77"/>
      <c r="R77"/>
      <c r="S77"/>
      <c r="T77"/>
      <c r="U77"/>
      <c r="V77"/>
      <c r="W77"/>
      <c r="X77"/>
      <c r="Y77"/>
      <c r="Z77"/>
      <c r="AA77"/>
      <c r="AB77"/>
    </row>
    <row r="78" spans="1:28" s="13" customFormat="1" x14ac:dyDescent="0.2">
      <c r="C78" s="11" t="s">
        <v>6</v>
      </c>
      <c r="D78" s="5">
        <f>1/D77</f>
        <v>2.0833333333333335</v>
      </c>
      <c r="E78" s="13">
        <f t="shared" ref="E78:O78" si="39">1/E77</f>
        <v>4.5454545454545459</v>
      </c>
      <c r="F78" s="13">
        <f t="shared" si="39"/>
        <v>10.454545454545455</v>
      </c>
      <c r="G78" s="13">
        <f t="shared" si="39"/>
        <v>25.555555555555557</v>
      </c>
      <c r="H78" s="13">
        <f t="shared" si="39"/>
        <v>67.083333333333329</v>
      </c>
      <c r="I78" s="13">
        <f t="shared" si="39"/>
        <v>191.66666666666669</v>
      </c>
      <c r="J78" s="13">
        <f t="shared" si="39"/>
        <v>606.94444444444457</v>
      </c>
      <c r="K78" s="13">
        <f t="shared" si="39"/>
        <v>2185</v>
      </c>
      <c r="L78" s="13">
        <f t="shared" si="39"/>
        <v>9286.25</v>
      </c>
      <c r="M78" s="13">
        <f t="shared" si="39"/>
        <v>49526.666666666664</v>
      </c>
      <c r="N78" s="13">
        <f t="shared" si="39"/>
        <v>371450</v>
      </c>
      <c r="O78" s="13">
        <f t="shared" si="39"/>
        <v>5200300.0000000009</v>
      </c>
      <c r="P78" s="6"/>
      <c r="Q78"/>
      <c r="R78"/>
      <c r="S78"/>
      <c r="T78"/>
      <c r="U78"/>
      <c r="V78"/>
      <c r="W78"/>
      <c r="X78"/>
      <c r="Y78"/>
      <c r="Z78"/>
      <c r="AA78"/>
      <c r="AB78"/>
    </row>
    <row r="79" spans="1:28" s="13" customFormat="1" ht="16" thickBot="1" x14ac:dyDescent="0.25">
      <c r="C79" s="12" t="s">
        <v>8</v>
      </c>
      <c r="D79" s="7">
        <f>$F$1*D78</f>
        <v>2.0208333333333335</v>
      </c>
      <c r="E79" s="18">
        <f t="shared" ref="E79:O79" si="40">$F$1*E78</f>
        <v>4.4090909090909092</v>
      </c>
      <c r="F79" s="18">
        <f t="shared" si="40"/>
        <v>10.140909090909091</v>
      </c>
      <c r="G79" s="18">
        <f t="shared" si="40"/>
        <v>24.788888888888891</v>
      </c>
      <c r="H79" s="18">
        <f t="shared" si="40"/>
        <v>65.070833333333326</v>
      </c>
      <c r="I79" s="18">
        <f t="shared" si="40"/>
        <v>185.91666666666669</v>
      </c>
      <c r="J79" s="18">
        <f t="shared" si="40"/>
        <v>588.7361111111112</v>
      </c>
      <c r="K79" s="18">
        <f t="shared" si="40"/>
        <v>2119.4499999999998</v>
      </c>
      <c r="L79" s="18">
        <f t="shared" si="40"/>
        <v>9007.6625000000004</v>
      </c>
      <c r="M79" s="18">
        <f t="shared" si="40"/>
        <v>48040.866666666661</v>
      </c>
      <c r="N79" s="18">
        <f t="shared" si="40"/>
        <v>360306.5</v>
      </c>
      <c r="O79" s="18">
        <f t="shared" si="40"/>
        <v>5044291.0000000009</v>
      </c>
      <c r="P79" s="8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3" customFormat="1" ht="16" thickBot="1" x14ac:dyDescent="0.25">
      <c r="A81" s="3" t="s">
        <v>27</v>
      </c>
      <c r="B81" s="14" t="s">
        <v>2</v>
      </c>
      <c r="C81" s="9" t="s">
        <v>3</v>
      </c>
      <c r="D81" s="55" t="s">
        <v>5</v>
      </c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7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3" customFormat="1" ht="16" thickBot="1" x14ac:dyDescent="0.25">
      <c r="A82" s="7"/>
      <c r="B82" s="9">
        <v>14</v>
      </c>
      <c r="C82" s="6">
        <f>$C$1-B82</f>
        <v>11</v>
      </c>
      <c r="D82" s="14">
        <v>1</v>
      </c>
      <c r="E82" s="15">
        <f>D82+1</f>
        <v>2</v>
      </c>
      <c r="F82" s="15">
        <f t="shared" ref="F82:O82" si="41">E82+1</f>
        <v>3</v>
      </c>
      <c r="G82" s="15">
        <f t="shared" si="41"/>
        <v>4</v>
      </c>
      <c r="H82" s="15">
        <f t="shared" si="41"/>
        <v>5</v>
      </c>
      <c r="I82" s="15">
        <f t="shared" si="41"/>
        <v>6</v>
      </c>
      <c r="J82" s="15">
        <f t="shared" si="41"/>
        <v>7</v>
      </c>
      <c r="K82" s="15">
        <f t="shared" si="41"/>
        <v>8</v>
      </c>
      <c r="L82" s="15">
        <f t="shared" si="41"/>
        <v>9</v>
      </c>
      <c r="M82" s="15">
        <f t="shared" si="41"/>
        <v>10</v>
      </c>
      <c r="N82" s="15">
        <f t="shared" si="41"/>
        <v>11</v>
      </c>
      <c r="O82" s="16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3" customFormat="1" x14ac:dyDescent="0.2">
      <c r="C83" s="10" t="s">
        <v>1</v>
      </c>
      <c r="D83" s="3">
        <f>COMBIN($C$82,D82)/COMBIN($C$1,D82)</f>
        <v>0.44</v>
      </c>
      <c r="E83" s="17">
        <f>COMBIN($C$82,E82)/COMBIN($C$1,E82)</f>
        <v>0.18333333333333332</v>
      </c>
      <c r="F83" s="17">
        <f>COMBIN($C$82,F82)/COMBIN($C$1,F82)</f>
        <v>7.1739130434782611E-2</v>
      </c>
      <c r="G83" s="17">
        <f>COMBIN($C$82,G82)/COMBIN($C$1,G82)</f>
        <v>2.6086956521739126E-2</v>
      </c>
      <c r="H83" s="17">
        <f>COMBIN($C$82,H82)/COMBIN($C$1,H82)</f>
        <v>8.6956521739130436E-3</v>
      </c>
      <c r="I83" s="17">
        <f>COMBIN($C$82,I82)/COMBIN($C$1,I82)</f>
        <v>2.6086956521739132E-3</v>
      </c>
      <c r="J83" s="17">
        <f>COMBIN($C$82,J82)/COMBIN($C$1,J82)</f>
        <v>6.8649885583524015E-4</v>
      </c>
      <c r="K83" s="17">
        <f>COMBIN($C$82,K82)/COMBIN($C$1,K82)</f>
        <v>1.5255530129672007E-4</v>
      </c>
      <c r="L83" s="17">
        <f>COMBIN($C$82,L82)/COMBIN($C$1,L82)</f>
        <v>2.6921523758244717E-5</v>
      </c>
      <c r="M83" s="17">
        <f>COMBIN($C$82,M82)/COMBIN($C$1,M82)</f>
        <v>3.36519046978059E-6</v>
      </c>
      <c r="N83" s="17">
        <f>COMBIN($C$82,N82)/COMBIN($C$1,N82)</f>
        <v>2.2434603131870596E-7</v>
      </c>
      <c r="O83" s="4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3" customFormat="1" x14ac:dyDescent="0.2">
      <c r="C84" s="11" t="s">
        <v>6</v>
      </c>
      <c r="D84" s="5">
        <f>1/D83</f>
        <v>2.2727272727272729</v>
      </c>
      <c r="E84" s="13">
        <f t="shared" ref="E84:N84" si="42">1/E83</f>
        <v>5.454545454545455</v>
      </c>
      <c r="F84" s="13">
        <f t="shared" si="42"/>
        <v>13.939393939393939</v>
      </c>
      <c r="G84" s="13">
        <f t="shared" si="42"/>
        <v>38.333333333333343</v>
      </c>
      <c r="H84" s="13">
        <f t="shared" si="42"/>
        <v>115</v>
      </c>
      <c r="I84" s="13">
        <f t="shared" si="42"/>
        <v>383.33333333333331</v>
      </c>
      <c r="J84" s="13">
        <f t="shared" si="42"/>
        <v>1456.666666666667</v>
      </c>
      <c r="K84" s="13">
        <f t="shared" si="42"/>
        <v>6555</v>
      </c>
      <c r="L84" s="13">
        <f t="shared" si="42"/>
        <v>37145</v>
      </c>
      <c r="M84" s="13">
        <f t="shared" si="42"/>
        <v>297159.99999999994</v>
      </c>
      <c r="N84" s="13">
        <f t="shared" si="42"/>
        <v>4457400</v>
      </c>
      <c r="O84" s="6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3" customFormat="1" ht="16" thickBot="1" x14ac:dyDescent="0.25">
      <c r="C85" s="12" t="s">
        <v>8</v>
      </c>
      <c r="D85" s="7">
        <f>$F$1*D84</f>
        <v>2.2045454545454546</v>
      </c>
      <c r="E85" s="18">
        <f t="shared" ref="E85:N85" si="43">$F$1*E84</f>
        <v>5.290909090909091</v>
      </c>
      <c r="F85" s="18">
        <f t="shared" si="43"/>
        <v>13.521212121212121</v>
      </c>
      <c r="G85" s="18">
        <f t="shared" si="43"/>
        <v>37.183333333333344</v>
      </c>
      <c r="H85" s="18">
        <f t="shared" si="43"/>
        <v>111.55</v>
      </c>
      <c r="I85" s="18">
        <f t="shared" si="43"/>
        <v>371.83333333333331</v>
      </c>
      <c r="J85" s="18">
        <f t="shared" si="43"/>
        <v>1412.9666666666669</v>
      </c>
      <c r="K85" s="18">
        <f t="shared" si="43"/>
        <v>6358.3499999999995</v>
      </c>
      <c r="L85" s="18">
        <f t="shared" si="43"/>
        <v>36030.65</v>
      </c>
      <c r="M85" s="18">
        <f t="shared" si="43"/>
        <v>288245.19999999995</v>
      </c>
      <c r="N85" s="18">
        <f t="shared" si="43"/>
        <v>4323678</v>
      </c>
      <c r="O85" s="8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3" customFormat="1" ht="16" thickBot="1" x14ac:dyDescent="0.25">
      <c r="A87" s="3" t="s">
        <v>28</v>
      </c>
      <c r="B87" s="14" t="s">
        <v>2</v>
      </c>
      <c r="C87" s="9" t="s">
        <v>3</v>
      </c>
      <c r="D87" s="55" t="s">
        <v>5</v>
      </c>
      <c r="E87" s="56"/>
      <c r="F87" s="56"/>
      <c r="G87" s="56"/>
      <c r="H87" s="56"/>
      <c r="I87" s="56"/>
      <c r="J87" s="56"/>
      <c r="K87" s="56"/>
      <c r="L87" s="56"/>
      <c r="M87" s="56"/>
      <c r="N87" s="5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3" customFormat="1" ht="16" thickBot="1" x14ac:dyDescent="0.25">
      <c r="A88" s="7"/>
      <c r="B88" s="9">
        <v>15</v>
      </c>
      <c r="C88" s="6">
        <f>$C$1-B88</f>
        <v>10</v>
      </c>
      <c r="D88" s="14">
        <v>1</v>
      </c>
      <c r="E88" s="15">
        <f>D88+1</f>
        <v>2</v>
      </c>
      <c r="F88" s="15">
        <f t="shared" ref="F88:N88" si="44">E88+1</f>
        <v>3</v>
      </c>
      <c r="G88" s="15">
        <f t="shared" si="44"/>
        <v>4</v>
      </c>
      <c r="H88" s="15">
        <f t="shared" si="44"/>
        <v>5</v>
      </c>
      <c r="I88" s="15">
        <f t="shared" si="44"/>
        <v>6</v>
      </c>
      <c r="J88" s="15">
        <f t="shared" si="44"/>
        <v>7</v>
      </c>
      <c r="K88" s="15">
        <f t="shared" si="44"/>
        <v>8</v>
      </c>
      <c r="L88" s="15">
        <f t="shared" si="44"/>
        <v>9</v>
      </c>
      <c r="M88" s="15">
        <f t="shared" si="44"/>
        <v>10</v>
      </c>
      <c r="N88" s="16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3" customFormat="1" x14ac:dyDescent="0.2">
      <c r="C89" s="10" t="s">
        <v>1</v>
      </c>
      <c r="D89" s="3">
        <f>COMBIN($C$88,D88)/COMBIN($C$1,D88)</f>
        <v>0.4</v>
      </c>
      <c r="E89" s="17">
        <f>COMBIN($C$88,E88)/COMBIN($C$1,E88)</f>
        <v>0.15</v>
      </c>
      <c r="F89" s="17">
        <f>COMBIN($C$88,F88)/COMBIN($C$1,F88)</f>
        <v>5.2173913043478258E-2</v>
      </c>
      <c r="G89" s="17">
        <f>COMBIN($C$88,G88)/COMBIN($C$1,G88)</f>
        <v>1.6600790513833986E-2</v>
      </c>
      <c r="H89" s="17">
        <f>COMBIN($C$88,H88)/COMBIN($C$1,H88)</f>
        <v>4.7430830039525695E-3</v>
      </c>
      <c r="I89" s="17">
        <f>COMBIN($C$88,I88)/COMBIN($C$1,I88)</f>
        <v>1.1857707509881424E-3</v>
      </c>
      <c r="J89" s="17">
        <f>COMBIN($C$88,J88)/COMBIN($C$1,J88)</f>
        <v>2.4963594757645096E-4</v>
      </c>
      <c r="K89" s="17">
        <f>COMBIN($C$88,K88)/COMBIN($C$1,K88)</f>
        <v>4.1605991262741838E-5</v>
      </c>
      <c r="L89" s="17">
        <f>COMBIN($C$88,L88)/COMBIN($C$1,L88)</f>
        <v>4.8948225014990391E-6</v>
      </c>
      <c r="M89" s="17">
        <f>COMBIN($C$88,M88)/COMBIN($C$1,M88)</f>
        <v>3.0592640634369E-7</v>
      </c>
      <c r="N89" s="4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3" customFormat="1" x14ac:dyDescent="0.2">
      <c r="C90" s="11" t="s">
        <v>6</v>
      </c>
      <c r="D90" s="5">
        <f>1/D89</f>
        <v>2.5</v>
      </c>
      <c r="E90" s="13">
        <f t="shared" ref="E90:M90" si="45">1/E89</f>
        <v>6.666666666666667</v>
      </c>
      <c r="F90" s="13">
        <f t="shared" si="45"/>
        <v>19.166666666666668</v>
      </c>
      <c r="G90" s="13">
        <f t="shared" si="45"/>
        <v>60.238095238095255</v>
      </c>
      <c r="H90" s="13">
        <f t="shared" si="45"/>
        <v>210.83333333333331</v>
      </c>
      <c r="I90" s="13">
        <f t="shared" si="45"/>
        <v>843.33333333333326</v>
      </c>
      <c r="J90" s="13">
        <f t="shared" si="45"/>
        <v>4005.8333333333339</v>
      </c>
      <c r="K90" s="13">
        <f t="shared" si="45"/>
        <v>24035</v>
      </c>
      <c r="L90" s="13">
        <f t="shared" si="45"/>
        <v>204297.5</v>
      </c>
      <c r="M90" s="13">
        <f t="shared" si="45"/>
        <v>3268759.9999999995</v>
      </c>
      <c r="N90" s="6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3" customFormat="1" ht="16" thickBot="1" x14ac:dyDescent="0.25">
      <c r="C91" s="12" t="s">
        <v>8</v>
      </c>
      <c r="D91" s="7">
        <f>$F$1*D90</f>
        <v>2.4249999999999998</v>
      </c>
      <c r="E91" s="18">
        <f t="shared" ref="E91:M91" si="46">$F$1*E90</f>
        <v>6.4666666666666668</v>
      </c>
      <c r="F91" s="18">
        <f t="shared" si="46"/>
        <v>18.591666666666669</v>
      </c>
      <c r="G91" s="18">
        <f t="shared" si="46"/>
        <v>58.430952380952398</v>
      </c>
      <c r="H91" s="18">
        <f t="shared" si="46"/>
        <v>204.5083333333333</v>
      </c>
      <c r="I91" s="18">
        <f t="shared" si="46"/>
        <v>818.03333333333319</v>
      </c>
      <c r="J91" s="18">
        <f t="shared" si="46"/>
        <v>3885.6583333333338</v>
      </c>
      <c r="K91" s="18">
        <f t="shared" si="46"/>
        <v>23313.95</v>
      </c>
      <c r="L91" s="18">
        <f t="shared" si="46"/>
        <v>198168.57499999998</v>
      </c>
      <c r="M91" s="18">
        <f t="shared" si="46"/>
        <v>3170697.1999999993</v>
      </c>
      <c r="N91" s="8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3" customFormat="1" ht="16" thickBot="1" x14ac:dyDescent="0.25">
      <c r="A93" s="3" t="s">
        <v>29</v>
      </c>
      <c r="B93" s="14" t="s">
        <v>2</v>
      </c>
      <c r="C93" s="9" t="s">
        <v>3</v>
      </c>
      <c r="D93" s="55" t="s">
        <v>5</v>
      </c>
      <c r="E93" s="56"/>
      <c r="F93" s="56"/>
      <c r="G93" s="56"/>
      <c r="H93" s="56"/>
      <c r="I93" s="56"/>
      <c r="J93" s="56"/>
      <c r="K93" s="56"/>
      <c r="L93" s="56"/>
      <c r="M93" s="57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3" customFormat="1" ht="16" thickBot="1" x14ac:dyDescent="0.25">
      <c r="A94" s="7"/>
      <c r="B94" s="9">
        <v>16</v>
      </c>
      <c r="C94" s="6">
        <f>$C$1-B94</f>
        <v>9</v>
      </c>
      <c r="D94" s="14">
        <v>1</v>
      </c>
      <c r="E94" s="15">
        <f>D94+1</f>
        <v>2</v>
      </c>
      <c r="F94" s="15">
        <f t="shared" ref="F94:M94" si="47">E94+1</f>
        <v>3</v>
      </c>
      <c r="G94" s="15">
        <f t="shared" si="47"/>
        <v>4</v>
      </c>
      <c r="H94" s="15">
        <f t="shared" si="47"/>
        <v>5</v>
      </c>
      <c r="I94" s="15">
        <f t="shared" si="47"/>
        <v>6</v>
      </c>
      <c r="J94" s="15">
        <f t="shared" si="47"/>
        <v>7</v>
      </c>
      <c r="K94" s="15">
        <f t="shared" si="47"/>
        <v>8</v>
      </c>
      <c r="L94" s="15">
        <f t="shared" si="47"/>
        <v>9</v>
      </c>
      <c r="M94" s="16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3" customFormat="1" x14ac:dyDescent="0.2">
      <c r="C95" s="10" t="s">
        <v>1</v>
      </c>
      <c r="D95" s="3">
        <f>COMBIN($C$94,D94)/COMBIN($C$1,D94)</f>
        <v>0.36</v>
      </c>
      <c r="E95" s="17">
        <f>COMBIN($C$94,E94)/COMBIN($C$1,E94)</f>
        <v>0.12</v>
      </c>
      <c r="F95" s="17">
        <f>COMBIN($C$94,F94)/COMBIN($C$1,F94)</f>
        <v>3.6521739130434779E-2</v>
      </c>
      <c r="G95" s="17">
        <f>COMBIN($C$94,G94)/COMBIN($C$1,G94)</f>
        <v>9.9604743083003943E-3</v>
      </c>
      <c r="H95" s="17">
        <f>COMBIN($C$94,H94)/COMBIN($C$1,H94)</f>
        <v>2.3715415019762848E-3</v>
      </c>
      <c r="I95" s="17">
        <f>COMBIN($C$94,I94)/COMBIN($C$1,I94)</f>
        <v>4.743083003952569E-4</v>
      </c>
      <c r="J95" s="17">
        <f>COMBIN($C$94,J94)/COMBIN($C$1,J94)</f>
        <v>7.4890784272935287E-5</v>
      </c>
      <c r="K95" s="17">
        <f>COMBIN($C$94,K94)/COMBIN($C$1,K94)</f>
        <v>8.3211982525483675E-6</v>
      </c>
      <c r="L95" s="17">
        <f>COMBIN($C$94,L94)/COMBIN($C$1,L94)</f>
        <v>4.8948225014990389E-7</v>
      </c>
      <c r="M95" s="4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3" customFormat="1" x14ac:dyDescent="0.2">
      <c r="C96" s="11" t="s">
        <v>6</v>
      </c>
      <c r="D96" s="39">
        <f>1/D95</f>
        <v>2.7777777777777777</v>
      </c>
      <c r="E96" s="29">
        <f t="shared" ref="E96:L96" si="48">1/E95</f>
        <v>8.3333333333333339</v>
      </c>
      <c r="F96" s="29">
        <f t="shared" si="48"/>
        <v>27.380952380952383</v>
      </c>
      <c r="G96" s="29">
        <f t="shared" si="48"/>
        <v>100.39682539682541</v>
      </c>
      <c r="H96" s="29">
        <f t="shared" si="48"/>
        <v>421.66666666666663</v>
      </c>
      <c r="I96" s="29">
        <f t="shared" si="48"/>
        <v>2108.3333333333335</v>
      </c>
      <c r="J96" s="29">
        <f t="shared" si="48"/>
        <v>13352.777777777781</v>
      </c>
      <c r="K96" s="29">
        <f t="shared" si="48"/>
        <v>120174.99999999999</v>
      </c>
      <c r="L96" s="29">
        <f t="shared" si="48"/>
        <v>2042975.0000000002</v>
      </c>
      <c r="M96" s="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3" customFormat="1" ht="16" thickBot="1" x14ac:dyDescent="0.25">
      <c r="C97" s="12" t="s">
        <v>8</v>
      </c>
      <c r="D97" s="7">
        <f>$F$1*D96</f>
        <v>2.6944444444444442</v>
      </c>
      <c r="E97" s="18">
        <f t="shared" ref="E97:L97" si="49">$F$1*E96</f>
        <v>8.0833333333333339</v>
      </c>
      <c r="F97" s="18">
        <f t="shared" si="49"/>
        <v>26.55952380952381</v>
      </c>
      <c r="G97" s="18">
        <f t="shared" si="49"/>
        <v>97.384920634920647</v>
      </c>
      <c r="H97" s="18">
        <f t="shared" si="49"/>
        <v>409.01666666666659</v>
      </c>
      <c r="I97" s="18">
        <f t="shared" si="49"/>
        <v>2045.0833333333335</v>
      </c>
      <c r="J97" s="18">
        <f t="shared" si="49"/>
        <v>12952.194444444447</v>
      </c>
      <c r="K97" s="18">
        <f t="shared" si="49"/>
        <v>116569.74999999999</v>
      </c>
      <c r="L97" s="18">
        <f t="shared" si="49"/>
        <v>1981685.7500000002</v>
      </c>
      <c r="M97" s="8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3" customFormat="1" ht="16" thickBot="1" x14ac:dyDescent="0.25">
      <c r="A99" s="3" t="s">
        <v>30</v>
      </c>
      <c r="B99" s="14" t="s">
        <v>2</v>
      </c>
      <c r="C99" s="9" t="s">
        <v>3</v>
      </c>
      <c r="D99" s="55" t="s">
        <v>5</v>
      </c>
      <c r="E99" s="56"/>
      <c r="F99" s="56"/>
      <c r="G99" s="56"/>
      <c r="H99" s="56"/>
      <c r="I99" s="56"/>
      <c r="J99" s="56"/>
      <c r="K99" s="56"/>
      <c r="L99" s="57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3" customFormat="1" ht="16" thickBot="1" x14ac:dyDescent="0.25">
      <c r="A100" s="7"/>
      <c r="B100" s="9">
        <v>17</v>
      </c>
      <c r="C100" s="6">
        <f>$C$1-B100</f>
        <v>8</v>
      </c>
      <c r="D100" s="14">
        <v>1</v>
      </c>
      <c r="E100" s="15">
        <f>D100+1</f>
        <v>2</v>
      </c>
      <c r="F100" s="15">
        <f t="shared" ref="F100:L100" si="50">E100+1</f>
        <v>3</v>
      </c>
      <c r="G100" s="15">
        <f t="shared" si="50"/>
        <v>4</v>
      </c>
      <c r="H100" s="15">
        <f t="shared" si="50"/>
        <v>5</v>
      </c>
      <c r="I100" s="15">
        <f t="shared" si="50"/>
        <v>6</v>
      </c>
      <c r="J100" s="15">
        <f t="shared" si="50"/>
        <v>7</v>
      </c>
      <c r="K100" s="15">
        <f t="shared" si="50"/>
        <v>8</v>
      </c>
      <c r="L100" s="16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3" customFormat="1" x14ac:dyDescent="0.2">
      <c r="C101" s="10" t="s">
        <v>1</v>
      </c>
      <c r="D101" s="3">
        <f>COMBIN($C$100,D100)/COMBIN($C$1,D100)</f>
        <v>0.32</v>
      </c>
      <c r="E101" s="17">
        <f>COMBIN($C$100,E100)/COMBIN($C$1,E100)</f>
        <v>9.3333333333333338E-2</v>
      </c>
      <c r="F101" s="17">
        <f>COMBIN($C$100,F100)/COMBIN($C$1,F100)</f>
        <v>2.4347826086956521E-2</v>
      </c>
      <c r="G101" s="17">
        <f>COMBIN($C$100,G100)/COMBIN($C$1,G100)</f>
        <v>5.5335968379446633E-3</v>
      </c>
      <c r="H101" s="17">
        <f>COMBIN($C$100,H100)/COMBIN($C$1,H100)</f>
        <v>1.0540184453227933E-3</v>
      </c>
      <c r="I101" s="17">
        <f>COMBIN($C$100,I100)/COMBIN($C$1,I100)</f>
        <v>1.58102766798419E-4</v>
      </c>
      <c r="J101" s="17">
        <f>COMBIN($C$100,J100)/COMBIN($C$1,J100)</f>
        <v>1.6642396505096728E-5</v>
      </c>
      <c r="K101" s="17">
        <f>COMBIN($C$100,K100)/COMBIN($C$1,K100)</f>
        <v>9.245775836164852E-7</v>
      </c>
      <c r="L101" s="4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3" customFormat="1" x14ac:dyDescent="0.2">
      <c r="C102" s="11" t="s">
        <v>6</v>
      </c>
      <c r="D102" s="5">
        <f>1/D101</f>
        <v>3.125</v>
      </c>
      <c r="E102" s="13">
        <f t="shared" ref="E102:K102" si="51">1/E101</f>
        <v>10.714285714285714</v>
      </c>
      <c r="F102" s="13">
        <f t="shared" si="51"/>
        <v>41.071428571428569</v>
      </c>
      <c r="G102" s="13">
        <f t="shared" si="51"/>
        <v>180.71428571428575</v>
      </c>
      <c r="H102" s="13">
        <f t="shared" si="51"/>
        <v>948.74999999999989</v>
      </c>
      <c r="I102" s="13">
        <f t="shared" si="51"/>
        <v>6324.9999999999991</v>
      </c>
      <c r="J102" s="13">
        <f t="shared" si="51"/>
        <v>60087.500000000022</v>
      </c>
      <c r="K102" s="13">
        <f t="shared" si="51"/>
        <v>1081575</v>
      </c>
      <c r="L102" s="6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3" customFormat="1" ht="16" thickBot="1" x14ac:dyDescent="0.25">
      <c r="C103" s="12" t="s">
        <v>8</v>
      </c>
      <c r="D103" s="7">
        <f>$F$1*D102</f>
        <v>3.03125</v>
      </c>
      <c r="E103" s="18">
        <f t="shared" ref="E103:K103" si="52">$F$1*E102</f>
        <v>10.392857142857142</v>
      </c>
      <c r="F103" s="18">
        <f t="shared" si="52"/>
        <v>39.839285714285708</v>
      </c>
      <c r="G103" s="18">
        <f t="shared" si="52"/>
        <v>175.29285714285717</v>
      </c>
      <c r="H103" s="18">
        <f t="shared" si="52"/>
        <v>920.28749999999991</v>
      </c>
      <c r="I103" s="18">
        <f t="shared" si="52"/>
        <v>6135.2499999999991</v>
      </c>
      <c r="J103" s="18">
        <f t="shared" si="52"/>
        <v>58284.875000000022</v>
      </c>
      <c r="K103" s="18">
        <f t="shared" si="52"/>
        <v>1049127.75</v>
      </c>
      <c r="L103" s="8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3" customFormat="1" ht="16" thickBot="1" x14ac:dyDescent="0.25">
      <c r="A105" s="3" t="s">
        <v>31</v>
      </c>
      <c r="B105" s="14" t="s">
        <v>2</v>
      </c>
      <c r="C105" s="9" t="s">
        <v>3</v>
      </c>
      <c r="D105" s="55" t="s">
        <v>5</v>
      </c>
      <c r="E105" s="56"/>
      <c r="F105" s="56"/>
      <c r="G105" s="56"/>
      <c r="H105" s="56"/>
      <c r="I105" s="56"/>
      <c r="J105" s="56"/>
      <c r="K105" s="57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3" customFormat="1" ht="16" thickBot="1" x14ac:dyDescent="0.25">
      <c r="A106" s="7"/>
      <c r="B106" s="9">
        <v>18</v>
      </c>
      <c r="C106" s="6">
        <f>$C$1-B106</f>
        <v>7</v>
      </c>
      <c r="D106" s="14">
        <v>1</v>
      </c>
      <c r="E106" s="15">
        <f>D106+1</f>
        <v>2</v>
      </c>
      <c r="F106" s="15">
        <f t="shared" ref="F106:K106" si="53">E106+1</f>
        <v>3</v>
      </c>
      <c r="G106" s="15">
        <f t="shared" si="53"/>
        <v>4</v>
      </c>
      <c r="H106" s="15">
        <f t="shared" si="53"/>
        <v>5</v>
      </c>
      <c r="I106" s="15">
        <f t="shared" si="53"/>
        <v>6</v>
      </c>
      <c r="J106" s="15">
        <f t="shared" si="53"/>
        <v>7</v>
      </c>
      <c r="K106" s="16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3" customFormat="1" x14ac:dyDescent="0.2">
      <c r="C107" s="10" t="s">
        <v>1</v>
      </c>
      <c r="D107" s="3">
        <f>COMBIN($C$106,D106)/COMBIN($C$1,D106)</f>
        <v>0.28000000000000003</v>
      </c>
      <c r="E107" s="17">
        <f>COMBIN($C$106,E106)/COMBIN($C$1,E106)</f>
        <v>7.0000000000000007E-2</v>
      </c>
      <c r="F107" s="23">
        <f>COMBIN($C$106,F106)/COMBIN($C$1,F106)</f>
        <v>1.5217391304347827E-2</v>
      </c>
      <c r="G107" s="23">
        <f>COMBIN($C$106,G106)/COMBIN($C$1,G106)</f>
        <v>2.7667984189723317E-3</v>
      </c>
      <c r="H107" s="23">
        <f>COMBIN($C$106,H106)/COMBIN($C$1,H106)</f>
        <v>3.9525691699604748E-4</v>
      </c>
      <c r="I107" s="17">
        <f>COMBIN($C$106,I106)/COMBIN($C$1,I106)</f>
        <v>3.9525691699604751E-5</v>
      </c>
      <c r="J107" s="17">
        <f>COMBIN($C$106,J106)/COMBIN($C$1,J106)</f>
        <v>2.080299563137091E-6</v>
      </c>
      <c r="K107" s="4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3" customFormat="1" x14ac:dyDescent="0.2">
      <c r="C108" s="11" t="s">
        <v>6</v>
      </c>
      <c r="D108" s="36">
        <f>1/D107</f>
        <v>3.5714285714285712</v>
      </c>
      <c r="E108" s="30">
        <f t="shared" ref="E108:J108" si="54">1/E107</f>
        <v>14.285714285714285</v>
      </c>
      <c r="F108" s="30">
        <f t="shared" si="54"/>
        <v>65.714285714285708</v>
      </c>
      <c r="G108" s="30">
        <f t="shared" si="54"/>
        <v>361.4285714285715</v>
      </c>
      <c r="H108" s="30">
        <f t="shared" si="54"/>
        <v>2529.9999999999995</v>
      </c>
      <c r="I108" s="40">
        <f t="shared" si="54"/>
        <v>25299.999999999996</v>
      </c>
      <c r="J108" s="40">
        <f t="shared" si="54"/>
        <v>480700.00000000017</v>
      </c>
      <c r="K108" s="6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3" customFormat="1" ht="16" thickBot="1" x14ac:dyDescent="0.25">
      <c r="C109" s="12" t="s">
        <v>8</v>
      </c>
      <c r="D109" s="32">
        <f>$F$1*D108</f>
        <v>3.464285714285714</v>
      </c>
      <c r="E109" s="31">
        <f t="shared" ref="E109:J109" si="55">$F$1*E108</f>
        <v>13.857142857142856</v>
      </c>
      <c r="F109" s="31">
        <f t="shared" si="55"/>
        <v>63.742857142857133</v>
      </c>
      <c r="G109" s="31">
        <f t="shared" si="55"/>
        <v>350.58571428571435</v>
      </c>
      <c r="H109" s="31">
        <f t="shared" si="55"/>
        <v>2454.0999999999995</v>
      </c>
      <c r="I109" s="33">
        <f t="shared" si="55"/>
        <v>24540.999999999996</v>
      </c>
      <c r="J109" s="33">
        <f t="shared" si="55"/>
        <v>466279.00000000017</v>
      </c>
      <c r="K109" s="8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3" customFormat="1" ht="16" thickBot="1" x14ac:dyDescent="0.25">
      <c r="A111" s="3" t="s">
        <v>32</v>
      </c>
      <c r="B111" s="14" t="s">
        <v>2</v>
      </c>
      <c r="C111" s="9" t="s">
        <v>3</v>
      </c>
      <c r="D111" s="55" t="s">
        <v>5</v>
      </c>
      <c r="E111" s="56"/>
      <c r="F111" s="56"/>
      <c r="G111" s="56"/>
      <c r="H111" s="56"/>
      <c r="I111" s="56"/>
      <c r="J111" s="57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3" customFormat="1" ht="16" thickBot="1" x14ac:dyDescent="0.25">
      <c r="A112" s="7"/>
      <c r="B112" s="9">
        <v>19</v>
      </c>
      <c r="C112" s="6">
        <f>$C$1-B112</f>
        <v>6</v>
      </c>
      <c r="D112" s="14">
        <v>1</v>
      </c>
      <c r="E112" s="15">
        <f>D112+1</f>
        <v>2</v>
      </c>
      <c r="F112" s="15">
        <f t="shared" ref="F112:J112" si="56">E112+1</f>
        <v>3</v>
      </c>
      <c r="G112" s="15">
        <f t="shared" si="56"/>
        <v>4</v>
      </c>
      <c r="H112" s="15">
        <f t="shared" si="56"/>
        <v>5</v>
      </c>
      <c r="I112" s="15">
        <f t="shared" si="56"/>
        <v>6</v>
      </c>
      <c r="J112" s="16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3" customFormat="1" x14ac:dyDescent="0.2">
      <c r="C113" s="10" t="s">
        <v>1</v>
      </c>
      <c r="D113" s="3">
        <f>COMBIN($C$112,D112)/COMBIN($C$1,D112)</f>
        <v>0.24</v>
      </c>
      <c r="E113" s="17">
        <f>COMBIN($C$112,E112)/COMBIN($C$1,E112)</f>
        <v>0.05</v>
      </c>
      <c r="F113" s="23">
        <f>COMBIN($C$112,F112)/COMBIN($C$1,F112)</f>
        <v>8.6956521739130436E-3</v>
      </c>
      <c r="G113" s="23">
        <f>COMBIN($C$112,G112)/COMBIN($C$1,G112)</f>
        <v>1.1857707509881422E-3</v>
      </c>
      <c r="H113" s="23">
        <f>COMBIN($C$112,H112)/COMBIN($C$1,H112)</f>
        <v>1.1293054771315642E-4</v>
      </c>
      <c r="I113" s="17">
        <f>COMBIN($C$112,I112)/COMBIN($C$1,I112)</f>
        <v>5.6465273856578217E-6</v>
      </c>
      <c r="J113" s="4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3" customFormat="1" x14ac:dyDescent="0.2">
      <c r="C114" s="11" t="s">
        <v>6</v>
      </c>
      <c r="D114" s="38">
        <f>1/D113</f>
        <v>4.166666666666667</v>
      </c>
      <c r="E114" s="40">
        <f t="shared" ref="E114:I114" si="57">1/E113</f>
        <v>20</v>
      </c>
      <c r="F114" s="13">
        <f t="shared" si="57"/>
        <v>115</v>
      </c>
      <c r="G114" s="13">
        <f t="shared" si="57"/>
        <v>843.33333333333337</v>
      </c>
      <c r="H114" s="13">
        <f t="shared" si="57"/>
        <v>8854.9999999999982</v>
      </c>
      <c r="I114" s="13">
        <f t="shared" si="57"/>
        <v>177099.99999999997</v>
      </c>
      <c r="J114" s="6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3" customFormat="1" ht="16" thickBot="1" x14ac:dyDescent="0.25">
      <c r="C115" s="12" t="s">
        <v>8</v>
      </c>
      <c r="D115" s="7">
        <f>$F$1*D114</f>
        <v>4.041666666666667</v>
      </c>
      <c r="E115" s="18">
        <f t="shared" ref="E115:I115" si="58">$F$1*E114</f>
        <v>19.399999999999999</v>
      </c>
      <c r="F115" s="18">
        <f t="shared" si="58"/>
        <v>111.55</v>
      </c>
      <c r="G115" s="18">
        <f t="shared" si="58"/>
        <v>818.0333333333333</v>
      </c>
      <c r="H115" s="18">
        <f t="shared" si="58"/>
        <v>8589.3499999999985</v>
      </c>
      <c r="I115" s="18">
        <f t="shared" si="58"/>
        <v>171786.99999999997</v>
      </c>
      <c r="J115" s="8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3" customFormat="1" ht="16" thickBot="1" x14ac:dyDescent="0.25">
      <c r="A117" s="3" t="s">
        <v>33</v>
      </c>
      <c r="B117" s="14" t="s">
        <v>2</v>
      </c>
      <c r="C117" s="9" t="s">
        <v>3</v>
      </c>
      <c r="D117" s="55" t="s">
        <v>5</v>
      </c>
      <c r="E117" s="56"/>
      <c r="F117" s="56"/>
      <c r="G117" s="56"/>
      <c r="H117" s="56"/>
      <c r="I117" s="5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3" customFormat="1" ht="16" thickBot="1" x14ac:dyDescent="0.25">
      <c r="A118" s="7"/>
      <c r="B118" s="9">
        <v>20</v>
      </c>
      <c r="C118" s="6">
        <f>$C$1-B118</f>
        <v>5</v>
      </c>
      <c r="D118" s="14">
        <v>1</v>
      </c>
      <c r="E118" s="15">
        <f>D118+1</f>
        <v>2</v>
      </c>
      <c r="F118" s="15">
        <f t="shared" ref="F118:I118" si="59">E118+1</f>
        <v>3</v>
      </c>
      <c r="G118" s="15">
        <f t="shared" si="59"/>
        <v>4</v>
      </c>
      <c r="H118" s="15">
        <f t="shared" si="59"/>
        <v>5</v>
      </c>
      <c r="I118" s="16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3" customFormat="1" x14ac:dyDescent="0.2">
      <c r="C119" s="10" t="s">
        <v>1</v>
      </c>
      <c r="D119" s="51">
        <f>COMBIN($C$118,D118)/COMBIN($C$1,D118)</f>
        <v>0.2</v>
      </c>
      <c r="E119" s="17">
        <f>COMBIN($C$118,E118)/COMBIN($C$1,E118)</f>
        <v>3.3333333333333333E-2</v>
      </c>
      <c r="F119" s="17">
        <f>COMBIN($C$118,F118)/COMBIN($C$1,F118)</f>
        <v>4.3478260869565218E-3</v>
      </c>
      <c r="G119" s="17">
        <f>COMBIN($C$118,G118)/COMBIN($C$1,G118)</f>
        <v>3.9525691699604737E-4</v>
      </c>
      <c r="H119" s="17">
        <f>COMBIN($C$118,H118)/COMBIN($C$1,H118)</f>
        <v>1.8821757952192737E-5</v>
      </c>
      <c r="I119" s="4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3" customFormat="1" x14ac:dyDescent="0.2">
      <c r="C120" s="11" t="s">
        <v>6</v>
      </c>
      <c r="D120" s="5">
        <f>1/D119</f>
        <v>5</v>
      </c>
      <c r="E120" s="13">
        <f t="shared" ref="E120:H120" si="60">1/E119</f>
        <v>30</v>
      </c>
      <c r="F120" s="13">
        <f t="shared" si="60"/>
        <v>230</v>
      </c>
      <c r="G120" s="13">
        <f t="shared" si="60"/>
        <v>2530.0000000000005</v>
      </c>
      <c r="H120" s="13">
        <f t="shared" si="60"/>
        <v>53129.999999999993</v>
      </c>
      <c r="I120" s="6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3" customFormat="1" ht="16" thickBot="1" x14ac:dyDescent="0.25">
      <c r="C121" s="12" t="s">
        <v>8</v>
      </c>
      <c r="D121" s="7">
        <f>$F$1*D120</f>
        <v>4.8499999999999996</v>
      </c>
      <c r="E121" s="18">
        <f t="shared" ref="E121:H121" si="61">$F$1*E120</f>
        <v>29.099999999999998</v>
      </c>
      <c r="F121" s="18">
        <f t="shared" si="61"/>
        <v>223.1</v>
      </c>
      <c r="G121" s="18">
        <f t="shared" si="61"/>
        <v>2454.1000000000004</v>
      </c>
      <c r="H121" s="18">
        <f t="shared" si="61"/>
        <v>51536.099999999991</v>
      </c>
      <c r="I121" s="8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3" customFormat="1" ht="16" thickBot="1" x14ac:dyDescent="0.25">
      <c r="A123" s="3" t="s">
        <v>34</v>
      </c>
      <c r="B123" s="14" t="s">
        <v>2</v>
      </c>
      <c r="C123" s="9" t="s">
        <v>3</v>
      </c>
      <c r="D123" s="55" t="s">
        <v>5</v>
      </c>
      <c r="E123" s="56"/>
      <c r="F123" s="56"/>
      <c r="G123" s="56"/>
      <c r="H123" s="57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3" customFormat="1" ht="16" thickBot="1" x14ac:dyDescent="0.25">
      <c r="A124" s="7"/>
      <c r="B124" s="9">
        <v>21</v>
      </c>
      <c r="C124" s="6">
        <f>$C$1-B124</f>
        <v>4</v>
      </c>
      <c r="D124" s="14">
        <v>1</v>
      </c>
      <c r="E124" s="15">
        <f>D124+1</f>
        <v>2</v>
      </c>
      <c r="F124" s="15">
        <f t="shared" ref="F124:H124" si="62">E124+1</f>
        <v>3</v>
      </c>
      <c r="G124" s="15">
        <f t="shared" si="62"/>
        <v>4</v>
      </c>
      <c r="H124" s="16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3" customFormat="1" x14ac:dyDescent="0.2">
      <c r="C125" s="10" t="s">
        <v>1</v>
      </c>
      <c r="D125" s="3">
        <f>COMBIN($C$124,D124)/COMBIN($C$1,D124)</f>
        <v>0.16</v>
      </c>
      <c r="E125" s="17">
        <f>COMBIN($C$124,E124)/COMBIN($C$1,E124)</f>
        <v>0.02</v>
      </c>
      <c r="F125" s="17">
        <f>COMBIN($C$124,F124)/COMBIN($C$1,F124)</f>
        <v>1.7391304347826088E-3</v>
      </c>
      <c r="G125" s="17">
        <f>COMBIN($C$124,G124)/COMBIN($C$1,G124)</f>
        <v>7.9051383399209474E-5</v>
      </c>
      <c r="H125" s="4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3" customFormat="1" x14ac:dyDescent="0.2">
      <c r="C126" s="11" t="s">
        <v>6</v>
      </c>
      <c r="D126" s="5">
        <f>1/D125</f>
        <v>6.25</v>
      </c>
      <c r="E126" s="13">
        <f t="shared" ref="E126:G126" si="63">1/E125</f>
        <v>50</v>
      </c>
      <c r="F126" s="13">
        <f t="shared" si="63"/>
        <v>575</v>
      </c>
      <c r="G126" s="13">
        <f t="shared" si="63"/>
        <v>12650.000000000002</v>
      </c>
      <c r="H126" s="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3" customFormat="1" ht="16" thickBot="1" x14ac:dyDescent="0.25">
      <c r="C127" s="12" t="s">
        <v>8</v>
      </c>
      <c r="D127" s="7">
        <f>$F$1*D126</f>
        <v>6.0625</v>
      </c>
      <c r="E127" s="18">
        <f t="shared" ref="E127:G127" si="64">$F$1*E126</f>
        <v>48.5</v>
      </c>
      <c r="F127" s="18">
        <f t="shared" si="64"/>
        <v>557.75</v>
      </c>
      <c r="G127" s="18">
        <f t="shared" si="64"/>
        <v>12270.500000000002</v>
      </c>
      <c r="H127" s="8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3" customFormat="1" ht="16" thickBot="1" x14ac:dyDescent="0.25">
      <c r="A129" s="3" t="s">
        <v>35</v>
      </c>
      <c r="B129" s="14" t="s">
        <v>2</v>
      </c>
      <c r="C129" s="9" t="s">
        <v>3</v>
      </c>
      <c r="D129" s="55" t="s">
        <v>5</v>
      </c>
      <c r="E129" s="56"/>
      <c r="F129" s="56"/>
      <c r="G129" s="57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3" customFormat="1" ht="16" thickBot="1" x14ac:dyDescent="0.25">
      <c r="A130" s="7"/>
      <c r="B130" s="9">
        <v>22</v>
      </c>
      <c r="C130" s="6">
        <f>$C$1-B130</f>
        <v>3</v>
      </c>
      <c r="D130" s="14">
        <v>1</v>
      </c>
      <c r="E130" s="15">
        <f>D130+1</f>
        <v>2</v>
      </c>
      <c r="F130" s="15">
        <f t="shared" ref="F130:G130" si="65">E130+1</f>
        <v>3</v>
      </c>
      <c r="G130" s="16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3" customFormat="1" x14ac:dyDescent="0.2">
      <c r="C131" s="10" t="s">
        <v>1</v>
      </c>
      <c r="D131" s="3">
        <f>COMBIN($C$130,D130)/COMBIN($C$1,D130)</f>
        <v>0.12</v>
      </c>
      <c r="E131" s="17">
        <f>COMBIN($C$130,E130)/COMBIN($C$1,E130)</f>
        <v>0.01</v>
      </c>
      <c r="F131" s="17">
        <f>COMBIN($C$130,F130)/COMBIN($C$1,F130)</f>
        <v>4.3478260869565219E-4</v>
      </c>
      <c r="G131" s="4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3" customFormat="1" x14ac:dyDescent="0.2">
      <c r="C132" s="11" t="s">
        <v>6</v>
      </c>
      <c r="D132" s="5">
        <f>1/D131</f>
        <v>8.3333333333333339</v>
      </c>
      <c r="E132" s="13">
        <f t="shared" ref="E132:F132" si="66">1/E131</f>
        <v>100</v>
      </c>
      <c r="F132" s="13">
        <f t="shared" si="66"/>
        <v>2300</v>
      </c>
      <c r="G132" s="6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3" customFormat="1" ht="16" thickBot="1" x14ac:dyDescent="0.25">
      <c r="C133" s="12" t="s">
        <v>8</v>
      </c>
      <c r="D133" s="7">
        <f>$F$1*D132</f>
        <v>8.0833333333333339</v>
      </c>
      <c r="E133" s="18">
        <f t="shared" ref="E133:F133" si="67">$F$1*E132</f>
        <v>97</v>
      </c>
      <c r="F133" s="18">
        <f t="shared" si="67"/>
        <v>2231</v>
      </c>
      <c r="G133" s="8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3" customFormat="1" ht="16" thickBot="1" x14ac:dyDescent="0.25">
      <c r="A135" s="3" t="s">
        <v>36</v>
      </c>
      <c r="B135" s="14" t="s">
        <v>2</v>
      </c>
      <c r="C135" s="9" t="s">
        <v>3</v>
      </c>
      <c r="D135" s="55" t="s">
        <v>5</v>
      </c>
      <c r="E135" s="56"/>
      <c r="F135" s="57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3" customFormat="1" ht="16" thickBot="1" x14ac:dyDescent="0.25">
      <c r="A136" s="7"/>
      <c r="B136" s="9">
        <v>23</v>
      </c>
      <c r="C136" s="6">
        <f>$C$1-B136</f>
        <v>2</v>
      </c>
      <c r="D136" s="14">
        <v>1</v>
      </c>
      <c r="E136" s="15">
        <f>D136+1</f>
        <v>2</v>
      </c>
      <c r="F136" s="16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3" customFormat="1" x14ac:dyDescent="0.2">
      <c r="C137" s="10" t="s">
        <v>1</v>
      </c>
      <c r="D137" s="3">
        <f>COMBIN($C$136,D136)/COMBIN($C$1,D136)</f>
        <v>0.08</v>
      </c>
      <c r="E137" s="17">
        <f>COMBIN($C$136,E136)/COMBIN($C$1,E136)</f>
        <v>3.3333333333333335E-3</v>
      </c>
      <c r="F137" s="4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3" customFormat="1" x14ac:dyDescent="0.2">
      <c r="C138" s="11" t="s">
        <v>6</v>
      </c>
      <c r="D138" s="5">
        <f>1/D137</f>
        <v>12.5</v>
      </c>
      <c r="E138" s="13">
        <f t="shared" ref="E138" si="69">1/E137</f>
        <v>300</v>
      </c>
      <c r="F138" s="6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3" customFormat="1" ht="16" thickBot="1" x14ac:dyDescent="0.25">
      <c r="C139" s="12" t="s">
        <v>8</v>
      </c>
      <c r="D139" s="7">
        <f>$F$1*D138</f>
        <v>12.125</v>
      </c>
      <c r="E139" s="18">
        <f t="shared" ref="E139" si="70">$F$1*E138</f>
        <v>291</v>
      </c>
      <c r="F139" s="8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3" t="s">
        <v>37</v>
      </c>
      <c r="B141" s="14" t="s">
        <v>2</v>
      </c>
      <c r="C141" s="9" t="s">
        <v>3</v>
      </c>
      <c r="D141" s="1" t="s">
        <v>5</v>
      </c>
      <c r="E141" s="2"/>
    </row>
    <row r="142" spans="1:28" ht="16" thickBot="1" x14ac:dyDescent="0.25">
      <c r="A142" s="7"/>
      <c r="B142" s="9">
        <v>24</v>
      </c>
      <c r="C142" s="6">
        <f>$C$1-B142</f>
        <v>1</v>
      </c>
      <c r="D142" s="14">
        <v>1</v>
      </c>
      <c r="E142" s="16">
        <f>D142+1</f>
        <v>2</v>
      </c>
    </row>
    <row r="143" spans="1:28" x14ac:dyDescent="0.2">
      <c r="A143" s="13"/>
      <c r="B143" s="13"/>
      <c r="C143" s="10" t="s">
        <v>1</v>
      </c>
      <c r="D143" s="3">
        <f>COMBIN($C$142,D142)/COMBIN($C$1,D142)</f>
        <v>0.04</v>
      </c>
      <c r="E143" s="4"/>
    </row>
    <row r="144" spans="1:28" x14ac:dyDescent="0.2">
      <c r="A144" s="13"/>
      <c r="B144" s="13"/>
      <c r="C144" s="11" t="s">
        <v>6</v>
      </c>
      <c r="D144" s="5">
        <f>1/D143</f>
        <v>25</v>
      </c>
      <c r="E144" s="6"/>
    </row>
    <row r="145" spans="1:5" ht="16" thickBot="1" x14ac:dyDescent="0.25">
      <c r="A145" s="13"/>
      <c r="B145" s="13"/>
      <c r="C145" s="12" t="s">
        <v>8</v>
      </c>
      <c r="D145" s="7">
        <f>$F$1*D144</f>
        <v>24.25</v>
      </c>
      <c r="E145" s="8"/>
    </row>
  </sheetData>
  <mergeCells count="23">
    <mergeCell ref="D33:W33"/>
    <mergeCell ref="D3:AB3"/>
    <mergeCell ref="D9:AA9"/>
    <mergeCell ref="D15:Z15"/>
    <mergeCell ref="D21:Y21"/>
    <mergeCell ref="D27:X27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111:J111"/>
    <mergeCell ref="D117:I117"/>
    <mergeCell ref="D123:H123"/>
    <mergeCell ref="D129:G129"/>
    <mergeCell ref="D135:F13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0BBF-E458-4D8B-80A9-E0B770C0666A}">
  <sheetPr codeName="Sheet5"/>
  <dimension ref="A1:AB145"/>
  <sheetViews>
    <sheetView zoomScale="182" zoomScaleNormal="182" workbookViewId="0">
      <selection activeCell="A9" sqref="A9:XFD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4</v>
      </c>
      <c r="C1" s="2">
        <v>25</v>
      </c>
      <c r="E1" s="19" t="s">
        <v>0</v>
      </c>
      <c r="F1" s="20">
        <v>0.99</v>
      </c>
    </row>
    <row r="2" spans="1:28" ht="16" thickBot="1" x14ac:dyDescent="0.25"/>
    <row r="3" spans="1:28" s="13" customFormat="1" ht="16" thickBot="1" x14ac:dyDescent="0.25">
      <c r="A3" s="3" t="s">
        <v>7</v>
      </c>
      <c r="B3" s="14" t="s">
        <v>2</v>
      </c>
      <c r="C3" s="9" t="s">
        <v>3</v>
      </c>
      <c r="D3" s="55" t="s">
        <v>5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7"/>
    </row>
    <row r="4" spans="1:28" s="13" customFormat="1" ht="16" thickBot="1" x14ac:dyDescent="0.25">
      <c r="A4" s="7"/>
      <c r="B4" s="9">
        <v>1</v>
      </c>
      <c r="C4" s="6">
        <f>$C$1-B4</f>
        <v>24</v>
      </c>
      <c r="D4" s="14">
        <v>1</v>
      </c>
      <c r="E4" s="15">
        <f>D4+1</f>
        <v>2</v>
      </c>
      <c r="F4" s="15">
        <f t="shared" ref="F4:AB4" si="0">E4+1</f>
        <v>3</v>
      </c>
      <c r="G4" s="15">
        <f t="shared" si="0"/>
        <v>4</v>
      </c>
      <c r="H4" s="15">
        <f t="shared" si="0"/>
        <v>5</v>
      </c>
      <c r="I4" s="15">
        <f t="shared" si="0"/>
        <v>6</v>
      </c>
      <c r="J4" s="15">
        <f t="shared" si="0"/>
        <v>7</v>
      </c>
      <c r="K4" s="15">
        <f t="shared" si="0"/>
        <v>8</v>
      </c>
      <c r="L4" s="15">
        <f t="shared" si="0"/>
        <v>9</v>
      </c>
      <c r="M4" s="15">
        <f t="shared" si="0"/>
        <v>10</v>
      </c>
      <c r="N4" s="15">
        <f t="shared" si="0"/>
        <v>11</v>
      </c>
      <c r="O4" s="15">
        <f t="shared" si="0"/>
        <v>12</v>
      </c>
      <c r="P4" s="15">
        <f t="shared" si="0"/>
        <v>13</v>
      </c>
      <c r="Q4" s="15">
        <f t="shared" si="0"/>
        <v>14</v>
      </c>
      <c r="R4" s="15">
        <f t="shared" si="0"/>
        <v>15</v>
      </c>
      <c r="S4" s="15">
        <f t="shared" si="0"/>
        <v>16</v>
      </c>
      <c r="T4" s="15">
        <f t="shared" si="0"/>
        <v>17</v>
      </c>
      <c r="U4" s="15">
        <f t="shared" si="0"/>
        <v>18</v>
      </c>
      <c r="V4" s="15">
        <f t="shared" si="0"/>
        <v>19</v>
      </c>
      <c r="W4" s="15">
        <f t="shared" si="0"/>
        <v>20</v>
      </c>
      <c r="X4" s="15">
        <f t="shared" si="0"/>
        <v>21</v>
      </c>
      <c r="Y4" s="15">
        <f t="shared" si="0"/>
        <v>22</v>
      </c>
      <c r="Z4" s="15">
        <f t="shared" si="0"/>
        <v>23</v>
      </c>
      <c r="AA4" s="15">
        <f t="shared" si="0"/>
        <v>24</v>
      </c>
      <c r="AB4" s="16">
        <f t="shared" si="0"/>
        <v>25</v>
      </c>
    </row>
    <row r="5" spans="1:28" s="13" customFormat="1" x14ac:dyDescent="0.2">
      <c r="C5" s="10" t="s">
        <v>1</v>
      </c>
      <c r="D5" s="52">
        <f>COMBIN($C$4,D4)/COMBIN($C$1,D4)</f>
        <v>0.96</v>
      </c>
      <c r="E5" s="26">
        <f t="shared" ref="E5:AA5" si="1">COMBIN($C$4,E4)/COMBIN($C$1,E4)</f>
        <v>0.92</v>
      </c>
      <c r="F5" s="26">
        <f t="shared" si="1"/>
        <v>0.88000000000000012</v>
      </c>
      <c r="G5" s="26">
        <f t="shared" si="1"/>
        <v>0.83999999999999986</v>
      </c>
      <c r="H5" s="26">
        <f t="shared" si="1"/>
        <v>0.79999999999999993</v>
      </c>
      <c r="I5" s="26">
        <f t="shared" si="1"/>
        <v>0.76000000000000034</v>
      </c>
      <c r="J5" s="26">
        <f t="shared" si="1"/>
        <v>0.71999999999999986</v>
      </c>
      <c r="K5" s="26">
        <f t="shared" si="1"/>
        <v>0.68</v>
      </c>
      <c r="L5" s="26">
        <f t="shared" si="1"/>
        <v>0.64</v>
      </c>
      <c r="M5" s="26">
        <f t="shared" si="1"/>
        <v>0.60000000000000009</v>
      </c>
      <c r="N5" s="26">
        <f t="shared" si="1"/>
        <v>0.56000000000000005</v>
      </c>
      <c r="O5" s="26">
        <f t="shared" si="1"/>
        <v>0.52000000000000013</v>
      </c>
      <c r="P5" s="26">
        <f t="shared" si="1"/>
        <v>0.48</v>
      </c>
      <c r="Q5" s="26">
        <f t="shared" si="1"/>
        <v>0.44</v>
      </c>
      <c r="R5" s="26">
        <f t="shared" si="1"/>
        <v>0.40000000000000008</v>
      </c>
      <c r="S5" s="26">
        <f t="shared" si="1"/>
        <v>0.36</v>
      </c>
      <c r="T5" s="26">
        <f t="shared" si="1"/>
        <v>0.32</v>
      </c>
      <c r="U5" s="26">
        <f t="shared" si="1"/>
        <v>0.27999999999999997</v>
      </c>
      <c r="V5" s="26">
        <f t="shared" si="1"/>
        <v>0.24</v>
      </c>
      <c r="W5" s="26">
        <f t="shared" si="1"/>
        <v>0.20000000000000004</v>
      </c>
      <c r="X5" s="26">
        <f t="shared" si="1"/>
        <v>0.16</v>
      </c>
      <c r="Y5" s="26">
        <f t="shared" si="1"/>
        <v>0.12</v>
      </c>
      <c r="Z5" s="26">
        <f t="shared" si="1"/>
        <v>0.08</v>
      </c>
      <c r="AA5" s="26">
        <f t="shared" si="1"/>
        <v>0.04</v>
      </c>
      <c r="AB5" s="4"/>
    </row>
    <row r="6" spans="1:28" s="13" customFormat="1" x14ac:dyDescent="0.2">
      <c r="C6" s="11" t="s">
        <v>6</v>
      </c>
      <c r="D6" s="38">
        <f>1/D5</f>
        <v>1.0416666666666667</v>
      </c>
      <c r="E6" s="27">
        <f t="shared" ref="E6:AA6" si="2">1/E5</f>
        <v>1.0869565217391304</v>
      </c>
      <c r="F6" s="27">
        <f t="shared" si="2"/>
        <v>1.1363636363636362</v>
      </c>
      <c r="G6" s="27">
        <f t="shared" si="2"/>
        <v>1.1904761904761907</v>
      </c>
      <c r="H6" s="27">
        <f t="shared" si="2"/>
        <v>1.25</v>
      </c>
      <c r="I6" s="27">
        <f t="shared" si="2"/>
        <v>1.31578947368421</v>
      </c>
      <c r="J6" s="27">
        <f t="shared" si="2"/>
        <v>1.3888888888888891</v>
      </c>
      <c r="K6" s="27">
        <f t="shared" si="2"/>
        <v>1.4705882352941175</v>
      </c>
      <c r="L6" s="27">
        <f t="shared" si="2"/>
        <v>1.5625</v>
      </c>
      <c r="M6" s="27">
        <f t="shared" si="2"/>
        <v>1.6666666666666665</v>
      </c>
      <c r="N6" s="27">
        <f t="shared" si="2"/>
        <v>1.7857142857142856</v>
      </c>
      <c r="O6" s="27">
        <f t="shared" si="2"/>
        <v>1.9230769230769227</v>
      </c>
      <c r="P6" s="27">
        <f t="shared" si="2"/>
        <v>2.0833333333333335</v>
      </c>
      <c r="Q6" s="27">
        <f t="shared" si="2"/>
        <v>2.2727272727272729</v>
      </c>
      <c r="R6" s="27">
        <f t="shared" si="2"/>
        <v>2.4999999999999996</v>
      </c>
      <c r="S6" s="27">
        <f t="shared" si="2"/>
        <v>2.7777777777777777</v>
      </c>
      <c r="T6" s="27">
        <f t="shared" si="2"/>
        <v>3.125</v>
      </c>
      <c r="U6" s="27">
        <f t="shared" si="2"/>
        <v>3.5714285714285716</v>
      </c>
      <c r="V6" s="27">
        <f t="shared" si="2"/>
        <v>4.166666666666667</v>
      </c>
      <c r="W6" s="27">
        <f t="shared" si="2"/>
        <v>4.9999999999999991</v>
      </c>
      <c r="X6" s="27">
        <f t="shared" si="2"/>
        <v>6.25</v>
      </c>
      <c r="Y6" s="27">
        <f t="shared" si="2"/>
        <v>8.3333333333333339</v>
      </c>
      <c r="Z6" s="27">
        <f t="shared" si="2"/>
        <v>12.5</v>
      </c>
      <c r="AA6" s="27">
        <f t="shared" si="2"/>
        <v>25</v>
      </c>
      <c r="AB6" s="6"/>
    </row>
    <row r="7" spans="1:28" s="13" customFormat="1" ht="16" thickBot="1" x14ac:dyDescent="0.25">
      <c r="C7" s="12" t="s">
        <v>8</v>
      </c>
      <c r="D7" s="35">
        <f>$F$1*D6</f>
        <v>1.03125</v>
      </c>
      <c r="E7" s="28">
        <f t="shared" ref="E7:AA7" si="3">$F$1*E6</f>
        <v>1.076086956521739</v>
      </c>
      <c r="F7" s="28">
        <f t="shared" si="3"/>
        <v>1.1249999999999998</v>
      </c>
      <c r="G7" s="28">
        <f t="shared" si="3"/>
        <v>1.1785714285714288</v>
      </c>
      <c r="H7" s="28">
        <f t="shared" si="3"/>
        <v>1.2375</v>
      </c>
      <c r="I7" s="28">
        <f t="shared" si="3"/>
        <v>1.3026315789473679</v>
      </c>
      <c r="J7" s="28">
        <f t="shared" si="3"/>
        <v>1.3750000000000002</v>
      </c>
      <c r="K7" s="28">
        <f t="shared" si="3"/>
        <v>1.4558823529411764</v>
      </c>
      <c r="L7" s="28">
        <f t="shared" si="3"/>
        <v>1.546875</v>
      </c>
      <c r="M7" s="28">
        <f t="shared" si="3"/>
        <v>1.65</v>
      </c>
      <c r="N7" s="28">
        <f t="shared" si="3"/>
        <v>1.7678571428571428</v>
      </c>
      <c r="O7" s="28">
        <f t="shared" si="3"/>
        <v>1.9038461538461535</v>
      </c>
      <c r="P7" s="28">
        <f t="shared" si="3"/>
        <v>2.0625</v>
      </c>
      <c r="Q7" s="28">
        <f t="shared" si="3"/>
        <v>2.25</v>
      </c>
      <c r="R7" s="28">
        <f t="shared" si="3"/>
        <v>2.4749999999999996</v>
      </c>
      <c r="S7" s="28">
        <f t="shared" si="3"/>
        <v>2.75</v>
      </c>
      <c r="T7" s="28">
        <f t="shared" si="3"/>
        <v>3.09375</v>
      </c>
      <c r="U7" s="28">
        <f t="shared" si="3"/>
        <v>3.535714285714286</v>
      </c>
      <c r="V7" s="28">
        <f t="shared" si="3"/>
        <v>4.125</v>
      </c>
      <c r="W7" s="28">
        <f t="shared" si="3"/>
        <v>4.9499999999999993</v>
      </c>
      <c r="X7" s="28">
        <f t="shared" si="3"/>
        <v>6.1875</v>
      </c>
      <c r="Y7" s="28">
        <f t="shared" si="3"/>
        <v>8.25</v>
      </c>
      <c r="Z7" s="28">
        <f t="shared" si="3"/>
        <v>12.375</v>
      </c>
      <c r="AA7" s="28">
        <f t="shared" si="3"/>
        <v>24.75</v>
      </c>
      <c r="AB7" s="8"/>
    </row>
    <row r="8" spans="1:28" ht="16" thickBot="1" x14ac:dyDescent="0.25"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28" s="13" customFormat="1" ht="16" thickBot="1" x14ac:dyDescent="0.25">
      <c r="A9" s="3" t="s">
        <v>15</v>
      </c>
      <c r="B9" s="14" t="s">
        <v>2</v>
      </c>
      <c r="C9" s="9" t="s">
        <v>3</v>
      </c>
      <c r="D9" s="58" t="s">
        <v>5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/>
      <c r="AB9"/>
    </row>
    <row r="10" spans="1:28" s="13" customFormat="1" ht="16" thickBot="1" x14ac:dyDescent="0.25">
      <c r="A10" s="7"/>
      <c r="B10" s="9">
        <v>2</v>
      </c>
      <c r="C10" s="6">
        <f>$C$1-B10</f>
        <v>23</v>
      </c>
      <c r="D10" s="45">
        <v>1</v>
      </c>
      <c r="E10" s="46">
        <f>D10+1</f>
        <v>2</v>
      </c>
      <c r="F10" s="46">
        <f t="shared" ref="F10:AA10" si="4">E10+1</f>
        <v>3</v>
      </c>
      <c r="G10" s="46">
        <f t="shared" si="4"/>
        <v>4</v>
      </c>
      <c r="H10" s="46">
        <f t="shared" si="4"/>
        <v>5</v>
      </c>
      <c r="I10" s="46">
        <f t="shared" si="4"/>
        <v>6</v>
      </c>
      <c r="J10" s="46">
        <f t="shared" si="4"/>
        <v>7</v>
      </c>
      <c r="K10" s="46">
        <f t="shared" si="4"/>
        <v>8</v>
      </c>
      <c r="L10" s="46">
        <f t="shared" si="4"/>
        <v>9</v>
      </c>
      <c r="M10" s="46">
        <f t="shared" si="4"/>
        <v>10</v>
      </c>
      <c r="N10" s="46">
        <f t="shared" si="4"/>
        <v>11</v>
      </c>
      <c r="O10" s="46">
        <f t="shared" si="4"/>
        <v>12</v>
      </c>
      <c r="P10" s="46">
        <f t="shared" si="4"/>
        <v>13</v>
      </c>
      <c r="Q10" s="46">
        <f t="shared" si="4"/>
        <v>14</v>
      </c>
      <c r="R10" s="46">
        <f t="shared" si="4"/>
        <v>15</v>
      </c>
      <c r="S10" s="46">
        <f t="shared" si="4"/>
        <v>16</v>
      </c>
      <c r="T10" s="46">
        <f t="shared" si="4"/>
        <v>17</v>
      </c>
      <c r="U10" s="46">
        <f t="shared" si="4"/>
        <v>18</v>
      </c>
      <c r="V10" s="46">
        <f t="shared" si="4"/>
        <v>19</v>
      </c>
      <c r="W10" s="46">
        <f t="shared" si="4"/>
        <v>20</v>
      </c>
      <c r="X10" s="46">
        <f t="shared" si="4"/>
        <v>21</v>
      </c>
      <c r="Y10" s="46">
        <f t="shared" si="4"/>
        <v>22</v>
      </c>
      <c r="Z10" s="46">
        <f t="shared" si="4"/>
        <v>23</v>
      </c>
      <c r="AA10" s="47">
        <f t="shared" si="4"/>
        <v>24</v>
      </c>
      <c r="AB10"/>
    </row>
    <row r="11" spans="1:28" s="13" customFormat="1" x14ac:dyDescent="0.2">
      <c r="C11" s="10" t="s">
        <v>1</v>
      </c>
      <c r="D11" s="52">
        <f>COMBIN($C$10,D10)/COMBIN($C$1,D10)</f>
        <v>0.92</v>
      </c>
      <c r="E11" s="26">
        <f>COMBIN($C$10,E10)/COMBIN($C$1,E10)</f>
        <v>0.84333333333333338</v>
      </c>
      <c r="F11" s="26">
        <f>COMBIN($C$10,F10)/COMBIN($C$1,F10)</f>
        <v>0.77</v>
      </c>
      <c r="G11" s="26">
        <f>COMBIN($C$10,G10)/COMBIN($C$1,G10)</f>
        <v>0.69999999999999984</v>
      </c>
      <c r="H11" s="26">
        <f>COMBIN($C$10,H10)/COMBIN($C$1,H10)</f>
        <v>0.63333333333333353</v>
      </c>
      <c r="I11" s="26">
        <f>COMBIN($C$10,I10)/COMBIN($C$1,I10)</f>
        <v>0.57000000000000006</v>
      </c>
      <c r="J11" s="26">
        <f>COMBIN($C$10,J10)/COMBIN($C$1,J10)</f>
        <v>0.5099999999999999</v>
      </c>
      <c r="K11" s="26">
        <f>COMBIN($C$10,K10)/COMBIN($C$1,K10)</f>
        <v>0.45333333333333331</v>
      </c>
      <c r="L11" s="26">
        <f>COMBIN($C$10,L10)/COMBIN($C$1,L10)</f>
        <v>0.4</v>
      </c>
      <c r="M11" s="26">
        <f>COMBIN($C$10,M10)/COMBIN($C$1,M10)</f>
        <v>0.35000000000000014</v>
      </c>
      <c r="N11" s="26">
        <f>COMBIN($C$10,N10)/COMBIN($C$1,N10)</f>
        <v>0.3033333333333334</v>
      </c>
      <c r="O11" s="26">
        <f>COMBIN($C$10,O10)/COMBIN($C$1,O10)</f>
        <v>0.26</v>
      </c>
      <c r="P11" s="26">
        <f>COMBIN($C$10,P10)/COMBIN($C$1,P10)</f>
        <v>0.22</v>
      </c>
      <c r="Q11" s="26">
        <f>COMBIN($C$10,Q10)/COMBIN($C$1,Q10)</f>
        <v>0.18333333333333332</v>
      </c>
      <c r="R11" s="26">
        <f>COMBIN($C$10,R10)/COMBIN($C$1,R10)</f>
        <v>0.15000000000000002</v>
      </c>
      <c r="S11" s="26">
        <f>COMBIN($C$10,S10)/COMBIN($C$1,S10)</f>
        <v>0.12</v>
      </c>
      <c r="T11" s="26">
        <f>COMBIN($C$10,T10)/COMBIN($C$1,T10)</f>
        <v>9.3333333333333338E-2</v>
      </c>
      <c r="U11" s="26">
        <f>COMBIN($C$10,U10)/COMBIN($C$1,U10)</f>
        <v>6.9999999999999993E-2</v>
      </c>
      <c r="V11" s="26">
        <f>COMBIN($C$10,V10)/COMBIN($C$1,V10)</f>
        <v>5.000000000000001E-2</v>
      </c>
      <c r="W11" s="26">
        <f>COMBIN($C$10,W10)/COMBIN($C$1,W10)</f>
        <v>3.333333333333334E-2</v>
      </c>
      <c r="X11" s="26">
        <f>COMBIN($C$10,X10)/COMBIN($C$1,X10)</f>
        <v>1.9999999999999997E-2</v>
      </c>
      <c r="Y11" s="26">
        <f>COMBIN($C$10,Y10)/COMBIN($C$1,Y10)</f>
        <v>0.01</v>
      </c>
      <c r="Z11" s="26">
        <f>COMBIN($C$10,Z10)/COMBIN($C$1,Z10)</f>
        <v>3.3333333333333335E-3</v>
      </c>
      <c r="AA11" s="44"/>
      <c r="AB11"/>
    </row>
    <row r="12" spans="1:28" s="13" customFormat="1" x14ac:dyDescent="0.2">
      <c r="C12" s="11" t="s">
        <v>6</v>
      </c>
      <c r="D12" s="38">
        <f>1/D11</f>
        <v>1.0869565217391304</v>
      </c>
      <c r="E12" s="27">
        <f t="shared" ref="E12:Z12" si="5">1/E11</f>
        <v>1.1857707509881423</v>
      </c>
      <c r="F12" s="27">
        <f t="shared" si="5"/>
        <v>1.2987012987012987</v>
      </c>
      <c r="G12" s="27">
        <f t="shared" si="5"/>
        <v>1.4285714285714288</v>
      </c>
      <c r="H12" s="27">
        <f t="shared" si="5"/>
        <v>1.5789473684210522</v>
      </c>
      <c r="I12" s="27">
        <f t="shared" si="5"/>
        <v>1.7543859649122806</v>
      </c>
      <c r="J12" s="27">
        <f t="shared" si="5"/>
        <v>1.9607843137254906</v>
      </c>
      <c r="K12" s="27">
        <f t="shared" si="5"/>
        <v>2.2058823529411766</v>
      </c>
      <c r="L12" s="27">
        <f t="shared" si="5"/>
        <v>2.5</v>
      </c>
      <c r="M12" s="27">
        <f t="shared" si="5"/>
        <v>2.8571428571428559</v>
      </c>
      <c r="N12" s="27">
        <f t="shared" si="5"/>
        <v>3.2967032967032961</v>
      </c>
      <c r="O12" s="27">
        <f t="shared" si="5"/>
        <v>3.8461538461538458</v>
      </c>
      <c r="P12" s="27">
        <f t="shared" si="5"/>
        <v>4.5454545454545459</v>
      </c>
      <c r="Q12" s="27">
        <f t="shared" si="5"/>
        <v>5.454545454545455</v>
      </c>
      <c r="R12" s="27">
        <f t="shared" si="5"/>
        <v>6.6666666666666661</v>
      </c>
      <c r="S12" s="27">
        <f t="shared" si="5"/>
        <v>8.3333333333333339</v>
      </c>
      <c r="T12" s="27">
        <f t="shared" si="5"/>
        <v>10.714285714285714</v>
      </c>
      <c r="U12" s="27">
        <f t="shared" si="5"/>
        <v>14.285714285714286</v>
      </c>
      <c r="V12" s="27">
        <f t="shared" si="5"/>
        <v>19.999999999999996</v>
      </c>
      <c r="W12" s="27">
        <f t="shared" si="5"/>
        <v>29.999999999999993</v>
      </c>
      <c r="X12" s="27">
        <f t="shared" si="5"/>
        <v>50.000000000000007</v>
      </c>
      <c r="Y12" s="27">
        <f t="shared" si="5"/>
        <v>100</v>
      </c>
      <c r="Z12" s="27">
        <f t="shared" si="5"/>
        <v>300</v>
      </c>
      <c r="AA12" s="42"/>
      <c r="AB12"/>
    </row>
    <row r="13" spans="1:28" s="13" customFormat="1" ht="16" thickBot="1" x14ac:dyDescent="0.25">
      <c r="C13" s="12" t="s">
        <v>8</v>
      </c>
      <c r="D13" s="32">
        <f>$F$1*D12</f>
        <v>1.076086956521739</v>
      </c>
      <c r="E13" s="31">
        <f t="shared" ref="E13:Z13" si="6">$F$1*E12</f>
        <v>1.173913043478261</v>
      </c>
      <c r="F13" s="31">
        <f t="shared" si="6"/>
        <v>1.2857142857142856</v>
      </c>
      <c r="G13" s="31">
        <f t="shared" si="6"/>
        <v>1.4142857142857146</v>
      </c>
      <c r="H13" s="31">
        <f t="shared" si="6"/>
        <v>1.5631578947368416</v>
      </c>
      <c r="I13" s="31">
        <f t="shared" si="6"/>
        <v>1.7368421052631577</v>
      </c>
      <c r="J13" s="31">
        <f t="shared" si="6"/>
        <v>1.9411764705882357</v>
      </c>
      <c r="K13" s="31">
        <f t="shared" si="6"/>
        <v>2.1838235294117649</v>
      </c>
      <c r="L13" s="31">
        <f t="shared" si="6"/>
        <v>2.4750000000000001</v>
      </c>
      <c r="M13" s="31">
        <f t="shared" si="6"/>
        <v>2.8285714285714274</v>
      </c>
      <c r="N13" s="31">
        <f t="shared" si="6"/>
        <v>3.2637362637362632</v>
      </c>
      <c r="O13" s="31">
        <f t="shared" si="6"/>
        <v>3.8076923076923075</v>
      </c>
      <c r="P13" s="31">
        <f t="shared" si="6"/>
        <v>4.5</v>
      </c>
      <c r="Q13" s="31">
        <f t="shared" si="6"/>
        <v>5.4</v>
      </c>
      <c r="R13" s="31">
        <f t="shared" si="6"/>
        <v>6.6</v>
      </c>
      <c r="S13" s="31">
        <f t="shared" si="6"/>
        <v>8.25</v>
      </c>
      <c r="T13" s="31">
        <f t="shared" si="6"/>
        <v>10.607142857142856</v>
      </c>
      <c r="U13" s="31">
        <f t="shared" si="6"/>
        <v>14.142857142857144</v>
      </c>
      <c r="V13" s="31">
        <f t="shared" si="6"/>
        <v>19.799999999999997</v>
      </c>
      <c r="W13" s="31">
        <f t="shared" si="6"/>
        <v>29.699999999999992</v>
      </c>
      <c r="X13" s="31">
        <f t="shared" si="6"/>
        <v>49.500000000000007</v>
      </c>
      <c r="Y13" s="31">
        <f t="shared" si="6"/>
        <v>99</v>
      </c>
      <c r="Z13" s="31">
        <f t="shared" si="6"/>
        <v>297</v>
      </c>
      <c r="AA13" s="43"/>
      <c r="AB13"/>
    </row>
    <row r="14" spans="1:28" ht="16" thickBot="1" x14ac:dyDescent="0.25"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8" s="13" customFormat="1" ht="16" thickBot="1" x14ac:dyDescent="0.25">
      <c r="A15" s="3" t="s">
        <v>16</v>
      </c>
      <c r="B15" s="14" t="s">
        <v>2</v>
      </c>
      <c r="C15" s="9" t="s">
        <v>3</v>
      </c>
      <c r="D15" s="58" t="s">
        <v>5</v>
      </c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A15" s="41"/>
      <c r="AB15"/>
    </row>
    <row r="16" spans="1:28" s="13" customFormat="1" ht="16" thickBot="1" x14ac:dyDescent="0.25">
      <c r="A16" s="7"/>
      <c r="B16" s="9">
        <v>3</v>
      </c>
      <c r="C16" s="6">
        <f>$C$1-B16</f>
        <v>22</v>
      </c>
      <c r="D16" s="45">
        <v>1</v>
      </c>
      <c r="E16" s="46">
        <f>D16+1</f>
        <v>2</v>
      </c>
      <c r="F16" s="46">
        <f t="shared" ref="F16:Z16" si="7">E16+1</f>
        <v>3</v>
      </c>
      <c r="G16" s="46">
        <f t="shared" si="7"/>
        <v>4</v>
      </c>
      <c r="H16" s="46">
        <f t="shared" si="7"/>
        <v>5</v>
      </c>
      <c r="I16" s="46">
        <f t="shared" si="7"/>
        <v>6</v>
      </c>
      <c r="J16" s="46">
        <f t="shared" si="7"/>
        <v>7</v>
      </c>
      <c r="K16" s="46">
        <f t="shared" si="7"/>
        <v>8</v>
      </c>
      <c r="L16" s="46">
        <f t="shared" si="7"/>
        <v>9</v>
      </c>
      <c r="M16" s="46">
        <f t="shared" si="7"/>
        <v>10</v>
      </c>
      <c r="N16" s="46">
        <f t="shared" si="7"/>
        <v>11</v>
      </c>
      <c r="O16" s="46">
        <f t="shared" si="7"/>
        <v>12</v>
      </c>
      <c r="P16" s="46">
        <f t="shared" si="7"/>
        <v>13</v>
      </c>
      <c r="Q16" s="46">
        <f t="shared" si="7"/>
        <v>14</v>
      </c>
      <c r="R16" s="46">
        <f t="shared" si="7"/>
        <v>15</v>
      </c>
      <c r="S16" s="46">
        <f t="shared" si="7"/>
        <v>16</v>
      </c>
      <c r="T16" s="46">
        <f t="shared" si="7"/>
        <v>17</v>
      </c>
      <c r="U16" s="46">
        <f t="shared" si="7"/>
        <v>18</v>
      </c>
      <c r="V16" s="46">
        <f t="shared" si="7"/>
        <v>19</v>
      </c>
      <c r="W16" s="46">
        <f t="shared" si="7"/>
        <v>20</v>
      </c>
      <c r="X16" s="46">
        <f t="shared" si="7"/>
        <v>21</v>
      </c>
      <c r="Y16" s="46">
        <f t="shared" si="7"/>
        <v>22</v>
      </c>
      <c r="Z16" s="47">
        <f t="shared" si="7"/>
        <v>23</v>
      </c>
      <c r="AA16" s="41"/>
      <c r="AB16"/>
    </row>
    <row r="17" spans="1:28" s="13" customFormat="1" x14ac:dyDescent="0.2">
      <c r="C17" s="10" t="s">
        <v>1</v>
      </c>
      <c r="D17" s="52">
        <f>COMBIN($C$16,D16)/COMBIN($C$1,D16)</f>
        <v>0.88</v>
      </c>
      <c r="E17" s="26">
        <f>COMBIN($C$16,E16)/COMBIN($C$1,E16)</f>
        <v>0.77</v>
      </c>
      <c r="F17" s="26">
        <f>COMBIN($C$16,F16)/COMBIN($C$1,F16)</f>
        <v>0.66956521739130437</v>
      </c>
      <c r="G17" s="26">
        <f>COMBIN($C$16,G16)/COMBIN($C$1,G16)</f>
        <v>0.57826086956521727</v>
      </c>
      <c r="H17" s="26">
        <f>COMBIN($C$16,H16)/COMBIN($C$1,H16)</f>
        <v>0.49565217391304356</v>
      </c>
      <c r="I17" s="26">
        <f>COMBIN($C$16,I16)/COMBIN($C$1,I16)</f>
        <v>0.421304347826087</v>
      </c>
      <c r="J17" s="26">
        <f>COMBIN($C$16,J16)/COMBIN($C$1,J16)</f>
        <v>0.35478260869565209</v>
      </c>
      <c r="K17" s="26">
        <f>COMBIN($C$16,K16)/COMBIN($C$1,K16)</f>
        <v>0.29565217391304349</v>
      </c>
      <c r="L17" s="26">
        <f>COMBIN($C$16,L16)/COMBIN($C$1,L16)</f>
        <v>0.24347826086956523</v>
      </c>
      <c r="M17" s="26">
        <f>COMBIN($C$16,M16)/COMBIN($C$1,M16)</f>
        <v>0.19782608695652179</v>
      </c>
      <c r="N17" s="26">
        <f>COMBIN($C$16,N16)/COMBIN($C$1,N16)</f>
        <v>0.1582608695652174</v>
      </c>
      <c r="O17" s="26">
        <f>COMBIN($C$16,O16)/COMBIN($C$1,O16)</f>
        <v>0.12434782608695652</v>
      </c>
      <c r="P17" s="26">
        <f>COMBIN($C$16,P16)/COMBIN($C$1,P16)</f>
        <v>9.5652173913043467E-2</v>
      </c>
      <c r="Q17" s="26">
        <f>COMBIN($C$16,Q16)/COMBIN($C$1,Q16)</f>
        <v>7.1739130434782611E-2</v>
      </c>
      <c r="R17" s="26">
        <f>COMBIN($C$16,R16)/COMBIN($C$1,R16)</f>
        <v>5.2173913043478265E-2</v>
      </c>
      <c r="S17" s="26">
        <f>COMBIN($C$16,S16)/COMBIN($C$1,S16)</f>
        <v>3.6521739130434785E-2</v>
      </c>
      <c r="T17" s="26">
        <f>COMBIN($C$16,T16)/COMBIN($C$1,T16)</f>
        <v>2.4347826086956521E-2</v>
      </c>
      <c r="U17" s="26">
        <f>COMBIN($C$16,U16)/COMBIN($C$1,U16)</f>
        <v>1.5217391304347823E-2</v>
      </c>
      <c r="V17" s="26">
        <f>COMBIN($C$16,V16)/COMBIN($C$1,V16)</f>
        <v>8.6956521739130453E-3</v>
      </c>
      <c r="W17" s="26">
        <f>COMBIN($C$16,W16)/COMBIN($C$1,W16)</f>
        <v>4.3478260869565227E-3</v>
      </c>
      <c r="X17" s="26">
        <f>COMBIN($C$16,X16)/COMBIN($C$1,X16)</f>
        <v>1.7391304347826085E-3</v>
      </c>
      <c r="Y17" s="26">
        <f>COMBIN($C$16,Y16)/COMBIN($C$1,Y16)</f>
        <v>4.3478260869565219E-4</v>
      </c>
      <c r="Z17" s="44"/>
      <c r="AA17" s="41"/>
      <c r="AB17"/>
    </row>
    <row r="18" spans="1:28" s="13" customFormat="1" x14ac:dyDescent="0.2">
      <c r="C18" s="11" t="s">
        <v>6</v>
      </c>
      <c r="D18" s="38">
        <f>1/D17</f>
        <v>1.1363636363636365</v>
      </c>
      <c r="E18" s="27">
        <f t="shared" ref="E18:Y18" si="8">1/E17</f>
        <v>1.2987012987012987</v>
      </c>
      <c r="F18" s="27">
        <f t="shared" si="8"/>
        <v>1.4935064935064934</v>
      </c>
      <c r="G18" s="27">
        <f t="shared" si="8"/>
        <v>1.7293233082706772</v>
      </c>
      <c r="H18" s="27">
        <f t="shared" si="8"/>
        <v>2.0175438596491224</v>
      </c>
      <c r="I18" s="27">
        <f t="shared" si="8"/>
        <v>2.3735810113519089</v>
      </c>
      <c r="J18" s="27">
        <f t="shared" si="8"/>
        <v>2.8186274509803928</v>
      </c>
      <c r="K18" s="27">
        <f t="shared" si="8"/>
        <v>3.3823529411764706</v>
      </c>
      <c r="L18" s="27">
        <f t="shared" si="8"/>
        <v>4.1071428571428568</v>
      </c>
      <c r="M18" s="27">
        <f t="shared" si="8"/>
        <v>5.0549450549450539</v>
      </c>
      <c r="N18" s="27">
        <f t="shared" si="8"/>
        <v>6.3186813186813184</v>
      </c>
      <c r="O18" s="27">
        <f t="shared" si="8"/>
        <v>8.0419580419580416</v>
      </c>
      <c r="P18" s="27">
        <f t="shared" si="8"/>
        <v>10.454545454545455</v>
      </c>
      <c r="Q18" s="27">
        <f t="shared" si="8"/>
        <v>13.939393939393939</v>
      </c>
      <c r="R18" s="27">
        <f t="shared" si="8"/>
        <v>19.166666666666664</v>
      </c>
      <c r="S18" s="27">
        <f t="shared" si="8"/>
        <v>27.38095238095238</v>
      </c>
      <c r="T18" s="27">
        <f t="shared" si="8"/>
        <v>41.071428571428569</v>
      </c>
      <c r="U18" s="27">
        <f t="shared" si="8"/>
        <v>65.714285714285722</v>
      </c>
      <c r="V18" s="27">
        <f t="shared" si="8"/>
        <v>114.99999999999997</v>
      </c>
      <c r="W18" s="27">
        <f t="shared" si="8"/>
        <v>229.99999999999994</v>
      </c>
      <c r="X18" s="27">
        <f t="shared" si="8"/>
        <v>575</v>
      </c>
      <c r="Y18" s="27">
        <f t="shared" si="8"/>
        <v>2300</v>
      </c>
      <c r="Z18" s="42"/>
      <c r="AA18" s="41"/>
      <c r="AB18"/>
    </row>
    <row r="19" spans="1:28" s="13" customFormat="1" ht="16" thickBot="1" x14ac:dyDescent="0.25">
      <c r="C19" s="12" t="s">
        <v>8</v>
      </c>
      <c r="D19" s="32">
        <f>$F$1*D18</f>
        <v>1.125</v>
      </c>
      <c r="E19" s="31">
        <f t="shared" ref="E19:Y19" si="9">$F$1*E18</f>
        <v>1.2857142857142856</v>
      </c>
      <c r="F19" s="31">
        <f t="shared" si="9"/>
        <v>1.4785714285714284</v>
      </c>
      <c r="G19" s="31">
        <f t="shared" si="9"/>
        <v>1.7120300751879705</v>
      </c>
      <c r="H19" s="31">
        <f t="shared" si="9"/>
        <v>1.9973684210526312</v>
      </c>
      <c r="I19" s="31">
        <f t="shared" si="9"/>
        <v>2.3498452012383897</v>
      </c>
      <c r="J19" s="31">
        <f t="shared" si="9"/>
        <v>2.7904411764705888</v>
      </c>
      <c r="K19" s="31">
        <f t="shared" si="9"/>
        <v>3.348529411764706</v>
      </c>
      <c r="L19" s="31">
        <f t="shared" si="9"/>
        <v>4.0660714285714281</v>
      </c>
      <c r="M19" s="31">
        <f t="shared" si="9"/>
        <v>5.0043956043956035</v>
      </c>
      <c r="N19" s="31">
        <f t="shared" si="9"/>
        <v>6.2554945054945055</v>
      </c>
      <c r="O19" s="31">
        <f t="shared" si="9"/>
        <v>7.9615384615384608</v>
      </c>
      <c r="P19" s="31">
        <f t="shared" si="9"/>
        <v>10.35</v>
      </c>
      <c r="Q19" s="31">
        <f t="shared" si="9"/>
        <v>13.8</v>
      </c>
      <c r="R19" s="31">
        <f t="shared" si="9"/>
        <v>18.974999999999998</v>
      </c>
      <c r="S19" s="31">
        <f t="shared" si="9"/>
        <v>27.107142857142854</v>
      </c>
      <c r="T19" s="31">
        <f t="shared" si="9"/>
        <v>40.660714285714285</v>
      </c>
      <c r="U19" s="31">
        <f t="shared" si="9"/>
        <v>65.057142857142864</v>
      </c>
      <c r="V19" s="31">
        <f t="shared" si="9"/>
        <v>113.84999999999997</v>
      </c>
      <c r="W19" s="31">
        <f t="shared" si="9"/>
        <v>227.69999999999993</v>
      </c>
      <c r="X19" s="31">
        <f t="shared" si="9"/>
        <v>569.25</v>
      </c>
      <c r="Y19" s="31">
        <f t="shared" si="9"/>
        <v>2277</v>
      </c>
      <c r="Z19" s="43"/>
      <c r="AA19" s="41"/>
      <c r="AB19"/>
    </row>
    <row r="20" spans="1:28" ht="16" thickBot="1" x14ac:dyDescent="0.25"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8" s="13" customFormat="1" ht="16" thickBot="1" x14ac:dyDescent="0.25">
      <c r="A21" s="3" t="s">
        <v>17</v>
      </c>
      <c r="B21" s="14" t="s">
        <v>2</v>
      </c>
      <c r="C21" s="9" t="s">
        <v>3</v>
      </c>
      <c r="D21" s="58" t="s">
        <v>5</v>
      </c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60"/>
      <c r="Z21" s="41"/>
      <c r="AA21" s="41"/>
      <c r="AB21"/>
    </row>
    <row r="22" spans="1:28" s="13" customFormat="1" ht="16" thickBot="1" x14ac:dyDescent="0.25">
      <c r="A22" s="7"/>
      <c r="B22" s="9">
        <v>4</v>
      </c>
      <c r="C22" s="6">
        <f>$C$1-B22</f>
        <v>21</v>
      </c>
      <c r="D22" s="45">
        <v>1</v>
      </c>
      <c r="E22" s="46">
        <f>D22+1</f>
        <v>2</v>
      </c>
      <c r="F22" s="46">
        <f t="shared" ref="F22:Y22" si="10">E22+1</f>
        <v>3</v>
      </c>
      <c r="G22" s="46">
        <f t="shared" si="10"/>
        <v>4</v>
      </c>
      <c r="H22" s="46">
        <f t="shared" si="10"/>
        <v>5</v>
      </c>
      <c r="I22" s="46">
        <f t="shared" si="10"/>
        <v>6</v>
      </c>
      <c r="J22" s="46">
        <f t="shared" si="10"/>
        <v>7</v>
      </c>
      <c r="K22" s="46">
        <f t="shared" si="10"/>
        <v>8</v>
      </c>
      <c r="L22" s="46">
        <f t="shared" si="10"/>
        <v>9</v>
      </c>
      <c r="M22" s="46">
        <f t="shared" si="10"/>
        <v>10</v>
      </c>
      <c r="N22" s="46">
        <f t="shared" si="10"/>
        <v>11</v>
      </c>
      <c r="O22" s="46">
        <f t="shared" si="10"/>
        <v>12</v>
      </c>
      <c r="P22" s="46">
        <f t="shared" si="10"/>
        <v>13</v>
      </c>
      <c r="Q22" s="46">
        <f t="shared" si="10"/>
        <v>14</v>
      </c>
      <c r="R22" s="46">
        <f t="shared" si="10"/>
        <v>15</v>
      </c>
      <c r="S22" s="46">
        <f t="shared" si="10"/>
        <v>16</v>
      </c>
      <c r="T22" s="46">
        <f t="shared" si="10"/>
        <v>17</v>
      </c>
      <c r="U22" s="46">
        <f t="shared" si="10"/>
        <v>18</v>
      </c>
      <c r="V22" s="46">
        <f t="shared" si="10"/>
        <v>19</v>
      </c>
      <c r="W22" s="46">
        <f t="shared" si="10"/>
        <v>20</v>
      </c>
      <c r="X22" s="46">
        <f t="shared" si="10"/>
        <v>21</v>
      </c>
      <c r="Y22" s="47">
        <f t="shared" si="10"/>
        <v>22</v>
      </c>
      <c r="Z22" s="41"/>
      <c r="AA22" s="41"/>
      <c r="AB22"/>
    </row>
    <row r="23" spans="1:28" s="13" customFormat="1" x14ac:dyDescent="0.2">
      <c r="C23" s="10" t="s">
        <v>1</v>
      </c>
      <c r="D23" s="26">
        <f>COMBIN($C$22,D22)/COMBIN($C$1,D22)</f>
        <v>0.84</v>
      </c>
      <c r="E23" s="26">
        <f>COMBIN($C$22,E22)/COMBIN($C$1,E22)</f>
        <v>0.7</v>
      </c>
      <c r="F23" s="26">
        <f>COMBIN($C$22,F22)/COMBIN($C$1,F22)</f>
        <v>0.57826086956521738</v>
      </c>
      <c r="G23" s="26">
        <f>COMBIN($C$22,G22)/COMBIN($C$1,G22)</f>
        <v>0.47312252964426871</v>
      </c>
      <c r="H23" s="26">
        <f>COMBIN($C$22,H22)/COMBIN($C$1,H22)</f>
        <v>0.38300395256917003</v>
      </c>
      <c r="I23" s="26">
        <f>COMBIN($C$22,I22)/COMBIN($C$1,I22)</f>
        <v>0.30640316205533602</v>
      </c>
      <c r="J23" s="26">
        <f>COMBIN($C$22,J22)/COMBIN($C$1,J22)</f>
        <v>0.24189723320158096</v>
      </c>
      <c r="K23" s="26">
        <f>COMBIN($C$22,K22)/COMBIN($C$1,K22)</f>
        <v>0.18814229249011857</v>
      </c>
      <c r="L23" s="26">
        <f>COMBIN($C$22,L22)/COMBIN($C$1,L22)</f>
        <v>0.14387351778656129</v>
      </c>
      <c r="M23" s="26">
        <f>COMBIN($C$22,M22)/COMBIN($C$1,M22)</f>
        <v>0.10790513833992096</v>
      </c>
      <c r="N23" s="26">
        <f>COMBIN($C$22,N22)/COMBIN($C$1,N22)</f>
        <v>7.91304347826087E-2</v>
      </c>
      <c r="O23" s="26">
        <f>COMBIN($C$22,O22)/COMBIN($C$1,O22)</f>
        <v>5.6521739130434782E-2</v>
      </c>
      <c r="P23" s="26">
        <f>COMBIN($C$22,P22)/COMBIN($C$1,P22)</f>
        <v>3.9130434782608692E-2</v>
      </c>
      <c r="Q23" s="26">
        <f>COMBIN($C$22,Q22)/COMBIN($C$1,Q22)</f>
        <v>2.6086956521739129E-2</v>
      </c>
      <c r="R23" s="26">
        <f>COMBIN($C$22,R22)/COMBIN($C$1,R22)</f>
        <v>1.6600790513833993E-2</v>
      </c>
      <c r="S23" s="26">
        <f>COMBIN($C$22,S22)/COMBIN($C$1,S22)</f>
        <v>9.960474308300396E-3</v>
      </c>
      <c r="T23" s="26">
        <f>COMBIN($C$22,T22)/COMBIN($C$1,T22)</f>
        <v>5.5335968379446642E-3</v>
      </c>
      <c r="U23" s="26">
        <f>COMBIN($C$22,U22)/COMBIN($C$1,U22)</f>
        <v>2.7667984189723312E-3</v>
      </c>
      <c r="V23" s="26">
        <f>COMBIN($C$22,V22)/COMBIN($C$1,V22)</f>
        <v>1.1857707509881424E-3</v>
      </c>
      <c r="W23" s="26">
        <f>COMBIN($C$22,W22)/COMBIN($C$1,W22)</f>
        <v>3.9525691699604748E-4</v>
      </c>
      <c r="X23" s="26">
        <f>COMBIN($C$22,X22)/COMBIN($C$1,X22)</f>
        <v>7.9051383399209474E-5</v>
      </c>
      <c r="Y23" s="44"/>
      <c r="Z23" s="41"/>
      <c r="AA23" s="41"/>
      <c r="AB23"/>
    </row>
    <row r="24" spans="1:28" s="13" customFormat="1" x14ac:dyDescent="0.2">
      <c r="C24" s="11" t="s">
        <v>6</v>
      </c>
      <c r="D24" s="38">
        <f>1/D23</f>
        <v>1.1904761904761905</v>
      </c>
      <c r="E24" s="27">
        <f t="shared" ref="E24:X24" si="11">1/E23</f>
        <v>1.4285714285714286</v>
      </c>
      <c r="F24" s="27">
        <f t="shared" si="11"/>
        <v>1.7293233082706767</v>
      </c>
      <c r="G24" s="27">
        <f t="shared" si="11"/>
        <v>2.1136173767752719</v>
      </c>
      <c r="H24" s="27">
        <f t="shared" si="11"/>
        <v>2.6109391124870998</v>
      </c>
      <c r="I24" s="27">
        <f t="shared" si="11"/>
        <v>3.2636738906088745</v>
      </c>
      <c r="J24" s="27">
        <f t="shared" si="11"/>
        <v>4.1339869281045765</v>
      </c>
      <c r="K24" s="27">
        <f t="shared" si="11"/>
        <v>5.3151260504201678</v>
      </c>
      <c r="L24" s="27">
        <f t="shared" si="11"/>
        <v>6.9505494505494489</v>
      </c>
      <c r="M24" s="27">
        <f t="shared" si="11"/>
        <v>9.2673992673992664</v>
      </c>
      <c r="N24" s="27">
        <f t="shared" si="11"/>
        <v>12.637362637362637</v>
      </c>
      <c r="O24" s="27">
        <f t="shared" si="11"/>
        <v>17.692307692307693</v>
      </c>
      <c r="P24" s="27">
        <f t="shared" si="11"/>
        <v>25.555555555555557</v>
      </c>
      <c r="Q24" s="27">
        <f t="shared" si="11"/>
        <v>38.333333333333336</v>
      </c>
      <c r="R24" s="27">
        <f t="shared" si="11"/>
        <v>60.238095238095234</v>
      </c>
      <c r="S24" s="27">
        <f t="shared" si="11"/>
        <v>100.39682539682539</v>
      </c>
      <c r="T24" s="27">
        <f t="shared" si="11"/>
        <v>180.71428571428572</v>
      </c>
      <c r="U24" s="27">
        <f t="shared" si="11"/>
        <v>361.42857142857156</v>
      </c>
      <c r="V24" s="27">
        <f t="shared" si="11"/>
        <v>843.33333333333326</v>
      </c>
      <c r="W24" s="27">
        <f t="shared" si="11"/>
        <v>2529.9999999999995</v>
      </c>
      <c r="X24" s="27">
        <f t="shared" si="11"/>
        <v>12650.000000000002</v>
      </c>
      <c r="Y24" s="42"/>
      <c r="Z24" s="41"/>
      <c r="AA24" s="41"/>
      <c r="AB24"/>
    </row>
    <row r="25" spans="1:28" s="13" customFormat="1" ht="16" thickBot="1" x14ac:dyDescent="0.25">
      <c r="C25" s="12" t="s">
        <v>8</v>
      </c>
      <c r="D25" s="32">
        <f>$F$1*D24</f>
        <v>1.1785714285714286</v>
      </c>
      <c r="E25" s="31">
        <f t="shared" ref="E25:X25" si="12">$F$1*E24</f>
        <v>1.4142857142857144</v>
      </c>
      <c r="F25" s="31">
        <f t="shared" si="12"/>
        <v>1.71203007518797</v>
      </c>
      <c r="G25" s="31">
        <f t="shared" si="12"/>
        <v>2.0924812030075191</v>
      </c>
      <c r="H25" s="31">
        <f t="shared" si="12"/>
        <v>2.5848297213622287</v>
      </c>
      <c r="I25" s="31">
        <f t="shared" si="12"/>
        <v>3.2310371517027856</v>
      </c>
      <c r="J25" s="31">
        <f t="shared" si="12"/>
        <v>4.0926470588235304</v>
      </c>
      <c r="K25" s="31">
        <f t="shared" si="12"/>
        <v>5.2619747899159659</v>
      </c>
      <c r="L25" s="31">
        <f t="shared" si="12"/>
        <v>6.8810439560439542</v>
      </c>
      <c r="M25" s="31">
        <f t="shared" si="12"/>
        <v>9.1747252747252741</v>
      </c>
      <c r="N25" s="31">
        <f t="shared" si="12"/>
        <v>12.510989010989011</v>
      </c>
      <c r="O25" s="31">
        <f t="shared" si="12"/>
        <v>17.515384615384615</v>
      </c>
      <c r="P25" s="31">
        <f t="shared" si="12"/>
        <v>25.3</v>
      </c>
      <c r="Q25" s="31">
        <f t="shared" si="12"/>
        <v>37.950000000000003</v>
      </c>
      <c r="R25" s="31">
        <f t="shared" si="12"/>
        <v>59.635714285714279</v>
      </c>
      <c r="S25" s="31">
        <f t="shared" si="12"/>
        <v>99.392857142857139</v>
      </c>
      <c r="T25" s="31">
        <f t="shared" si="12"/>
        <v>178.90714285714287</v>
      </c>
      <c r="U25" s="31">
        <f t="shared" si="12"/>
        <v>357.81428571428586</v>
      </c>
      <c r="V25" s="31">
        <f t="shared" si="12"/>
        <v>834.89999999999986</v>
      </c>
      <c r="W25" s="31">
        <f t="shared" si="12"/>
        <v>2504.6999999999994</v>
      </c>
      <c r="X25" s="31">
        <f t="shared" si="12"/>
        <v>12523.500000000002</v>
      </c>
      <c r="Y25" s="43"/>
      <c r="Z25" s="41"/>
      <c r="AA25" s="41"/>
      <c r="AB25"/>
    </row>
    <row r="26" spans="1:28" ht="16" thickBot="1" x14ac:dyDescent="0.25"/>
    <row r="27" spans="1:28" s="13" customFormat="1" ht="16" thickBot="1" x14ac:dyDescent="0.25">
      <c r="A27" s="3" t="s">
        <v>18</v>
      </c>
      <c r="B27" s="14" t="s">
        <v>2</v>
      </c>
      <c r="C27" s="9" t="s">
        <v>3</v>
      </c>
      <c r="D27" s="55" t="s">
        <v>5</v>
      </c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7"/>
      <c r="Y27"/>
      <c r="Z27"/>
      <c r="AA27"/>
      <c r="AB27"/>
    </row>
    <row r="28" spans="1:28" s="13" customFormat="1" ht="16" thickBot="1" x14ac:dyDescent="0.25">
      <c r="A28" s="7"/>
      <c r="B28" s="9">
        <v>5</v>
      </c>
      <c r="C28" s="6">
        <f>$C$1-B28</f>
        <v>20</v>
      </c>
      <c r="D28" s="14">
        <v>1</v>
      </c>
      <c r="E28" s="15">
        <f>D28+1</f>
        <v>2</v>
      </c>
      <c r="F28" s="15">
        <f t="shared" ref="F28:X28" si="13">E28+1</f>
        <v>3</v>
      </c>
      <c r="G28" s="15">
        <f t="shared" si="13"/>
        <v>4</v>
      </c>
      <c r="H28" s="15">
        <f t="shared" si="13"/>
        <v>5</v>
      </c>
      <c r="I28" s="15">
        <f t="shared" si="13"/>
        <v>6</v>
      </c>
      <c r="J28" s="15">
        <f t="shared" si="13"/>
        <v>7</v>
      </c>
      <c r="K28" s="15">
        <f t="shared" si="13"/>
        <v>8</v>
      </c>
      <c r="L28" s="15">
        <f t="shared" si="13"/>
        <v>9</v>
      </c>
      <c r="M28" s="15">
        <f t="shared" si="13"/>
        <v>10</v>
      </c>
      <c r="N28" s="15">
        <f t="shared" si="13"/>
        <v>11</v>
      </c>
      <c r="O28" s="15">
        <f t="shared" si="13"/>
        <v>12</v>
      </c>
      <c r="P28" s="15">
        <f t="shared" si="13"/>
        <v>13</v>
      </c>
      <c r="Q28" s="15">
        <f t="shared" si="13"/>
        <v>14</v>
      </c>
      <c r="R28" s="15">
        <f t="shared" si="13"/>
        <v>15</v>
      </c>
      <c r="S28" s="15">
        <f t="shared" si="13"/>
        <v>16</v>
      </c>
      <c r="T28" s="15">
        <f t="shared" si="13"/>
        <v>17</v>
      </c>
      <c r="U28" s="15">
        <f t="shared" si="13"/>
        <v>18</v>
      </c>
      <c r="V28" s="15">
        <f t="shared" si="13"/>
        <v>19</v>
      </c>
      <c r="W28" s="15">
        <f t="shared" si="13"/>
        <v>20</v>
      </c>
      <c r="X28" s="16">
        <f t="shared" si="13"/>
        <v>21</v>
      </c>
      <c r="Y28"/>
      <c r="Z28"/>
      <c r="AA28"/>
      <c r="AB28"/>
    </row>
    <row r="29" spans="1:28" s="13" customFormat="1" x14ac:dyDescent="0.2">
      <c r="C29" s="10" t="s">
        <v>1</v>
      </c>
      <c r="D29" s="51">
        <f>COMBIN($C$28,D28)/COMBIN($C$1,D28)</f>
        <v>0.8</v>
      </c>
      <c r="E29" s="26">
        <f>COMBIN($C$28,E28)/COMBIN($C$1,E28)</f>
        <v>0.6333333333333333</v>
      </c>
      <c r="F29" s="26">
        <f>COMBIN($C$28,F28)/COMBIN($C$1,F28)</f>
        <v>0.4956521739130435</v>
      </c>
      <c r="G29" s="26">
        <f>COMBIN($C$28,G28)/COMBIN($C$1,G28)</f>
        <v>0.38300395256916991</v>
      </c>
      <c r="H29" s="26">
        <f>COMBIN($C$28,H28)/COMBIN($C$1,H28)</f>
        <v>0.29181253529079615</v>
      </c>
      <c r="I29" s="26">
        <f>COMBIN($C$28,I28)/COMBIN($C$1,I28)</f>
        <v>0.21885940146809715</v>
      </c>
      <c r="J29" s="26">
        <f>COMBIN($C$28,J28)/COMBIN($C$1,J28)</f>
        <v>0.16126482213438731</v>
      </c>
      <c r="K29" s="26">
        <f>COMBIN($C$28,K28)/COMBIN($C$1,K28)</f>
        <v>0.11646903820816866</v>
      </c>
      <c r="L29" s="26">
        <f>COMBIN($C$28,L28)/COMBIN($C$1,L28)</f>
        <v>8.2213438735177863E-2</v>
      </c>
      <c r="M29" s="26">
        <f>COMBIN($C$28,M28)/COMBIN($C$1,M28)</f>
        <v>5.6521739130434789E-2</v>
      </c>
      <c r="N29" s="26">
        <f>COMBIN($C$28,N28)/COMBIN($C$1,N28)</f>
        <v>3.7681159420289857E-2</v>
      </c>
      <c r="O29" s="26">
        <f>COMBIN($C$28,O28)/COMBIN($C$1,O28)</f>
        <v>2.422360248447205E-2</v>
      </c>
      <c r="P29" s="26">
        <f>COMBIN($C$28,P28)/COMBIN($C$1,P28)</f>
        <v>1.4906832298136644E-2</v>
      </c>
      <c r="Q29" s="26">
        <f>COMBIN($C$28,Q28)/COMBIN($C$1,Q28)</f>
        <v>8.6956521739130436E-3</v>
      </c>
      <c r="R29" s="26">
        <f>COMBIN($C$28,R28)/COMBIN($C$1,R28)</f>
        <v>4.7430830039525695E-3</v>
      </c>
      <c r="S29" s="26">
        <f>COMBIN($C$28,S28)/COMBIN($C$1,S28)</f>
        <v>2.3715415019762848E-3</v>
      </c>
      <c r="T29" s="26">
        <f>COMBIN($C$28,T28)/COMBIN($C$1,T28)</f>
        <v>1.0540184453227931E-3</v>
      </c>
      <c r="U29" s="26">
        <f>COMBIN($C$28,U28)/COMBIN($C$1,U28)</f>
        <v>3.9525691699604732E-4</v>
      </c>
      <c r="V29" s="26">
        <f>COMBIN($C$28,V28)/COMBIN($C$1,V28)</f>
        <v>1.1293054771315642E-4</v>
      </c>
      <c r="W29" s="23">
        <f>COMBIN($C$28,W28)/COMBIN($C$1,W28)</f>
        <v>1.8821757952192737E-5</v>
      </c>
      <c r="X29" s="44"/>
      <c r="Y29"/>
      <c r="Z29"/>
      <c r="AA29"/>
      <c r="AB29"/>
    </row>
    <row r="30" spans="1:28" s="13" customFormat="1" x14ac:dyDescent="0.2">
      <c r="C30" s="11" t="s">
        <v>6</v>
      </c>
      <c r="D30" s="39">
        <f>1/D29</f>
        <v>1.25</v>
      </c>
      <c r="E30" s="27">
        <f t="shared" ref="E30:W30" si="14">1/E29</f>
        <v>1.5789473684210527</v>
      </c>
      <c r="F30" s="27">
        <f t="shared" si="14"/>
        <v>2.0175438596491229</v>
      </c>
      <c r="G30" s="27">
        <f t="shared" si="14"/>
        <v>2.6109391124871002</v>
      </c>
      <c r="H30" s="27">
        <f t="shared" si="14"/>
        <v>3.4268575851393188</v>
      </c>
      <c r="I30" s="27">
        <f t="shared" si="14"/>
        <v>4.5691434468524248</v>
      </c>
      <c r="J30" s="27">
        <f t="shared" si="14"/>
        <v>6.2009803921568647</v>
      </c>
      <c r="K30" s="27">
        <f t="shared" si="14"/>
        <v>8.5859728506787309</v>
      </c>
      <c r="L30" s="27">
        <f t="shared" si="14"/>
        <v>12.163461538461538</v>
      </c>
      <c r="M30" s="27">
        <f t="shared" si="14"/>
        <v>17.69230769230769</v>
      </c>
      <c r="N30" s="27">
        <f t="shared" si="14"/>
        <v>26.538461538461537</v>
      </c>
      <c r="O30" s="27">
        <f t="shared" si="14"/>
        <v>41.282051282051285</v>
      </c>
      <c r="P30" s="27">
        <f t="shared" si="14"/>
        <v>67.083333333333343</v>
      </c>
      <c r="Q30" s="27">
        <f t="shared" si="14"/>
        <v>115</v>
      </c>
      <c r="R30" s="27">
        <f t="shared" si="14"/>
        <v>210.83333333333331</v>
      </c>
      <c r="S30" s="27">
        <f t="shared" si="14"/>
        <v>421.66666666666663</v>
      </c>
      <c r="T30" s="27">
        <f t="shared" si="14"/>
        <v>948.75000000000011</v>
      </c>
      <c r="U30" s="27">
        <f t="shared" si="14"/>
        <v>2530.0000000000009</v>
      </c>
      <c r="V30" s="27">
        <f t="shared" si="14"/>
        <v>8854.9999999999982</v>
      </c>
      <c r="W30" s="27">
        <f t="shared" si="14"/>
        <v>53129.999999999993</v>
      </c>
      <c r="X30" s="42"/>
      <c r="Y30"/>
      <c r="Z30"/>
      <c r="AA30"/>
      <c r="AB30"/>
    </row>
    <row r="31" spans="1:28" s="13" customFormat="1" ht="16" thickBot="1" x14ac:dyDescent="0.25">
      <c r="C31" s="12" t="s">
        <v>8</v>
      </c>
      <c r="D31" s="32">
        <f>$F$1*D30</f>
        <v>1.2375</v>
      </c>
      <c r="E31" s="31">
        <f t="shared" ref="E31:W31" si="15">$F$1*E30</f>
        <v>1.5631578947368421</v>
      </c>
      <c r="F31" s="31">
        <f t="shared" si="15"/>
        <v>1.9973684210526317</v>
      </c>
      <c r="G31" s="31">
        <f t="shared" si="15"/>
        <v>2.5848297213622291</v>
      </c>
      <c r="H31" s="31">
        <f t="shared" si="15"/>
        <v>3.3925890092879256</v>
      </c>
      <c r="I31" s="31">
        <f t="shared" si="15"/>
        <v>4.5234520123839008</v>
      </c>
      <c r="J31" s="31">
        <f t="shared" si="15"/>
        <v>6.1389705882352956</v>
      </c>
      <c r="K31" s="31">
        <f t="shared" si="15"/>
        <v>8.5001131221719444</v>
      </c>
      <c r="L31" s="31">
        <f t="shared" si="15"/>
        <v>12.041826923076924</v>
      </c>
      <c r="M31" s="31">
        <f t="shared" si="15"/>
        <v>17.515384615384612</v>
      </c>
      <c r="N31" s="31">
        <f t="shared" si="15"/>
        <v>26.273076923076921</v>
      </c>
      <c r="O31" s="31">
        <f t="shared" si="15"/>
        <v>40.869230769230768</v>
      </c>
      <c r="P31" s="31">
        <f t="shared" si="15"/>
        <v>66.412500000000009</v>
      </c>
      <c r="Q31" s="31">
        <f t="shared" si="15"/>
        <v>113.85</v>
      </c>
      <c r="R31" s="31">
        <f t="shared" si="15"/>
        <v>208.72499999999997</v>
      </c>
      <c r="S31" s="31">
        <f t="shared" si="15"/>
        <v>417.44999999999993</v>
      </c>
      <c r="T31" s="31">
        <f t="shared" si="15"/>
        <v>939.26250000000016</v>
      </c>
      <c r="U31" s="31">
        <f t="shared" si="15"/>
        <v>2504.7000000000007</v>
      </c>
      <c r="V31" s="31">
        <f t="shared" si="15"/>
        <v>8766.4499999999989</v>
      </c>
      <c r="W31" s="31">
        <f t="shared" si="15"/>
        <v>52598.69999999999</v>
      </c>
      <c r="X31" s="43"/>
      <c r="Y31"/>
      <c r="Z31"/>
      <c r="AA31"/>
      <c r="AB31"/>
    </row>
    <row r="32" spans="1:28" ht="16" thickBot="1" x14ac:dyDescent="0.25"/>
    <row r="33" spans="1:28" s="13" customFormat="1" ht="16" thickBot="1" x14ac:dyDescent="0.25">
      <c r="A33" s="3" t="s">
        <v>19</v>
      </c>
      <c r="B33" s="14" t="s">
        <v>2</v>
      </c>
      <c r="C33" s="9" t="s">
        <v>3</v>
      </c>
      <c r="D33" s="55" t="s">
        <v>5</v>
      </c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/>
      <c r="Y33"/>
      <c r="Z33"/>
      <c r="AA33"/>
      <c r="AB33"/>
    </row>
    <row r="34" spans="1:28" s="13" customFormat="1" ht="16" thickBot="1" x14ac:dyDescent="0.25">
      <c r="A34" s="7"/>
      <c r="B34" s="9">
        <v>6</v>
      </c>
      <c r="C34" s="6">
        <f>$C$1-B34</f>
        <v>19</v>
      </c>
      <c r="D34" s="14">
        <v>1</v>
      </c>
      <c r="E34" s="15">
        <f>D34+1</f>
        <v>2</v>
      </c>
      <c r="F34" s="15">
        <f t="shared" ref="F34:W34" si="16">E34+1</f>
        <v>3</v>
      </c>
      <c r="G34" s="15">
        <f t="shared" si="16"/>
        <v>4</v>
      </c>
      <c r="H34" s="15">
        <f t="shared" si="16"/>
        <v>5</v>
      </c>
      <c r="I34" s="15">
        <f t="shared" si="16"/>
        <v>6</v>
      </c>
      <c r="J34" s="15">
        <f t="shared" si="16"/>
        <v>7</v>
      </c>
      <c r="K34" s="15">
        <f t="shared" si="16"/>
        <v>8</v>
      </c>
      <c r="L34" s="15">
        <f t="shared" si="16"/>
        <v>9</v>
      </c>
      <c r="M34" s="15">
        <f t="shared" si="16"/>
        <v>10</v>
      </c>
      <c r="N34" s="15">
        <f t="shared" si="16"/>
        <v>11</v>
      </c>
      <c r="O34" s="15">
        <f t="shared" si="16"/>
        <v>12</v>
      </c>
      <c r="P34" s="15">
        <f t="shared" si="16"/>
        <v>13</v>
      </c>
      <c r="Q34" s="15">
        <f t="shared" si="16"/>
        <v>14</v>
      </c>
      <c r="R34" s="15">
        <f t="shared" si="16"/>
        <v>15</v>
      </c>
      <c r="S34" s="15">
        <f t="shared" si="16"/>
        <v>16</v>
      </c>
      <c r="T34" s="15">
        <f t="shared" si="16"/>
        <v>17</v>
      </c>
      <c r="U34" s="15">
        <f t="shared" si="16"/>
        <v>18</v>
      </c>
      <c r="V34" s="15">
        <f t="shared" si="16"/>
        <v>19</v>
      </c>
      <c r="W34" s="16">
        <f t="shared" si="16"/>
        <v>20</v>
      </c>
      <c r="X34"/>
      <c r="Y34"/>
      <c r="Z34"/>
      <c r="AA34"/>
      <c r="AB34"/>
    </row>
    <row r="35" spans="1:28" s="13" customFormat="1" x14ac:dyDescent="0.2">
      <c r="C35" s="10" t="s">
        <v>1</v>
      </c>
      <c r="D35" s="3">
        <f>COMBIN($C$34,D34)/COMBIN($C$1,D34)</f>
        <v>0.76</v>
      </c>
      <c r="E35" s="17">
        <f>COMBIN($C$34,E34)/COMBIN($C$1,E34)</f>
        <v>0.56999999999999995</v>
      </c>
      <c r="F35" s="17">
        <f>COMBIN($C$34,F34)/COMBIN($C$1,F34)</f>
        <v>0.42130434782608694</v>
      </c>
      <c r="G35" s="17">
        <f>COMBIN($C$34,G34)/COMBIN($C$1,G34)</f>
        <v>0.30640316205533591</v>
      </c>
      <c r="H35" s="17">
        <f>COMBIN($C$34,H34)/COMBIN($C$1,H34)</f>
        <v>0.21885940146809715</v>
      </c>
      <c r="I35" s="17">
        <f>COMBIN($C$34,I34)/COMBIN($C$1,I34)</f>
        <v>0.15320158102766801</v>
      </c>
      <c r="J35" s="17">
        <f>COMBIN($C$34,J34)/COMBIN($C$1,J34)</f>
        <v>0.10482213438735177</v>
      </c>
      <c r="K35" s="17">
        <f>COMBIN($C$34,K34)/COMBIN($C$1,K34)</f>
        <v>6.9881422924901168E-2</v>
      </c>
      <c r="L35" s="17">
        <f>COMBIN($C$34,L34)/COMBIN($C$1,L34)</f>
        <v>4.5217391304347827E-2</v>
      </c>
      <c r="M35" s="17">
        <f>COMBIN($C$34,M34)/COMBIN($C$1,M34)</f>
        <v>2.8260869565217395E-2</v>
      </c>
      <c r="N35" s="17">
        <f>COMBIN($C$34,N34)/COMBIN($C$1,N34)</f>
        <v>1.6956521739130433E-2</v>
      </c>
      <c r="O35" s="17">
        <f>COMBIN($C$34,O34)/COMBIN($C$1,O34)</f>
        <v>9.6894409937888192E-3</v>
      </c>
      <c r="P35" s="17">
        <f>COMBIN($C$34,P34)/COMBIN($C$1,P34)</f>
        <v>5.2173913043478248E-3</v>
      </c>
      <c r="Q35" s="17">
        <f>COMBIN($C$34,Q34)/COMBIN($C$1,Q34)</f>
        <v>2.6086956521739132E-3</v>
      </c>
      <c r="R35" s="17">
        <f>COMBIN($C$34,R34)/COMBIN($C$1,R34)</f>
        <v>1.1857707509881424E-3</v>
      </c>
      <c r="S35" s="17">
        <f>COMBIN($C$34,S34)/COMBIN($C$1,S34)</f>
        <v>4.743083003952569E-4</v>
      </c>
      <c r="T35" s="17">
        <f>COMBIN($C$34,T34)/COMBIN($C$1,T34)</f>
        <v>1.5810276679841898E-4</v>
      </c>
      <c r="U35" s="17">
        <f>COMBIN($C$34,U34)/COMBIN($C$1,U34)</f>
        <v>3.952569169960473E-5</v>
      </c>
      <c r="V35" s="17">
        <f>COMBIN($C$34,V34)/COMBIN($C$1,V34)</f>
        <v>5.6465273856578217E-6</v>
      </c>
      <c r="W35" s="4"/>
      <c r="X35"/>
      <c r="Y35"/>
      <c r="Z35"/>
      <c r="AA35"/>
      <c r="AB35"/>
    </row>
    <row r="36" spans="1:28" s="13" customFormat="1" x14ac:dyDescent="0.2">
      <c r="C36" s="11" t="s">
        <v>6</v>
      </c>
      <c r="D36" s="5">
        <f>1/D35</f>
        <v>1.3157894736842106</v>
      </c>
      <c r="E36" s="13">
        <f t="shared" ref="E36:V36" si="17">1/E35</f>
        <v>1.7543859649122808</v>
      </c>
      <c r="F36" s="13">
        <f t="shared" si="17"/>
        <v>2.3735810113519094</v>
      </c>
      <c r="G36" s="13">
        <f t="shared" si="17"/>
        <v>3.2636738906088758</v>
      </c>
      <c r="H36" s="13">
        <f t="shared" si="17"/>
        <v>4.5691434468524248</v>
      </c>
      <c r="I36" s="13">
        <f t="shared" si="17"/>
        <v>6.5273477812177489</v>
      </c>
      <c r="J36" s="13">
        <f t="shared" si="17"/>
        <v>9.539969834087481</v>
      </c>
      <c r="K36" s="13">
        <f t="shared" si="17"/>
        <v>14.309954751131226</v>
      </c>
      <c r="L36" s="13">
        <f t="shared" si="17"/>
        <v>22.115384615384613</v>
      </c>
      <c r="M36" s="13">
        <f t="shared" si="17"/>
        <v>35.38461538461538</v>
      </c>
      <c r="N36" s="13">
        <f t="shared" si="17"/>
        <v>58.974358974358985</v>
      </c>
      <c r="O36" s="13">
        <f t="shared" si="17"/>
        <v>103.20512820512822</v>
      </c>
      <c r="P36" s="13">
        <f t="shared" si="17"/>
        <v>191.66666666666671</v>
      </c>
      <c r="Q36" s="13">
        <f t="shared" si="17"/>
        <v>383.33333333333331</v>
      </c>
      <c r="R36" s="13">
        <f t="shared" si="17"/>
        <v>843.33333333333326</v>
      </c>
      <c r="S36" s="13">
        <f t="shared" si="17"/>
        <v>2108.3333333333335</v>
      </c>
      <c r="T36" s="13">
        <f t="shared" si="17"/>
        <v>6325</v>
      </c>
      <c r="U36" s="13">
        <f t="shared" si="17"/>
        <v>25300.000000000007</v>
      </c>
      <c r="V36" s="13">
        <f t="shared" si="17"/>
        <v>177099.99999999997</v>
      </c>
      <c r="W36" s="6"/>
      <c r="X36"/>
      <c r="Y36"/>
      <c r="Z36"/>
      <c r="AA36"/>
      <c r="AB36"/>
    </row>
    <row r="37" spans="1:28" s="13" customFormat="1" ht="16" thickBot="1" x14ac:dyDescent="0.25">
      <c r="C37" s="12" t="s">
        <v>8</v>
      </c>
      <c r="D37" s="7">
        <f>$F$1*D36</f>
        <v>1.3026315789473686</v>
      </c>
      <c r="E37" s="18">
        <f t="shared" ref="E37:V37" si="18">$F$1*E36</f>
        <v>1.736842105263158</v>
      </c>
      <c r="F37" s="18">
        <f t="shared" si="18"/>
        <v>2.3498452012383901</v>
      </c>
      <c r="G37" s="18">
        <f t="shared" si="18"/>
        <v>3.2310371517027869</v>
      </c>
      <c r="H37" s="18">
        <f t="shared" si="18"/>
        <v>4.5234520123839008</v>
      </c>
      <c r="I37" s="18">
        <f t="shared" si="18"/>
        <v>6.4620743034055712</v>
      </c>
      <c r="J37" s="18">
        <f t="shared" si="18"/>
        <v>9.4445701357466056</v>
      </c>
      <c r="K37" s="18">
        <f t="shared" si="18"/>
        <v>14.166855203619914</v>
      </c>
      <c r="L37" s="18">
        <f t="shared" si="18"/>
        <v>21.894230769230766</v>
      </c>
      <c r="M37" s="18">
        <f t="shared" si="18"/>
        <v>35.030769230769224</v>
      </c>
      <c r="N37" s="18">
        <f t="shared" si="18"/>
        <v>58.384615384615394</v>
      </c>
      <c r="O37" s="18">
        <f t="shared" si="18"/>
        <v>102.17307692307693</v>
      </c>
      <c r="P37" s="18">
        <f t="shared" si="18"/>
        <v>189.75000000000006</v>
      </c>
      <c r="Q37" s="18">
        <f t="shared" si="18"/>
        <v>379.5</v>
      </c>
      <c r="R37" s="18">
        <f t="shared" si="18"/>
        <v>834.89999999999986</v>
      </c>
      <c r="S37" s="18">
        <f t="shared" si="18"/>
        <v>2087.25</v>
      </c>
      <c r="T37" s="18">
        <f t="shared" si="18"/>
        <v>6261.75</v>
      </c>
      <c r="U37" s="18">
        <f t="shared" si="18"/>
        <v>25047.000000000007</v>
      </c>
      <c r="V37" s="18">
        <f t="shared" si="18"/>
        <v>175328.99999999997</v>
      </c>
      <c r="W37" s="8"/>
      <c r="X37"/>
      <c r="Y37"/>
      <c r="Z37"/>
      <c r="AA37"/>
      <c r="AB37"/>
    </row>
    <row r="38" spans="1:28" ht="16" thickBot="1" x14ac:dyDescent="0.25"/>
    <row r="39" spans="1:28" s="13" customFormat="1" ht="16" thickBot="1" x14ac:dyDescent="0.25">
      <c r="A39" s="3" t="s">
        <v>20</v>
      </c>
      <c r="B39" s="14" t="s">
        <v>2</v>
      </c>
      <c r="C39" s="9" t="s">
        <v>3</v>
      </c>
      <c r="D39" s="55" t="s">
        <v>5</v>
      </c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7"/>
      <c r="W39"/>
      <c r="X39"/>
      <c r="Y39"/>
      <c r="Z39"/>
      <c r="AA39"/>
      <c r="AB39"/>
    </row>
    <row r="40" spans="1:28" s="13" customFormat="1" ht="16" thickBot="1" x14ac:dyDescent="0.25">
      <c r="A40" s="7"/>
      <c r="B40" s="9">
        <v>7</v>
      </c>
      <c r="C40" s="6">
        <f>$C$1-B40</f>
        <v>18</v>
      </c>
      <c r="D40" s="14">
        <v>1</v>
      </c>
      <c r="E40" s="15">
        <f>D40+1</f>
        <v>2</v>
      </c>
      <c r="F40" s="15">
        <f t="shared" ref="F40:V40" si="19">E40+1</f>
        <v>3</v>
      </c>
      <c r="G40" s="15">
        <f t="shared" si="19"/>
        <v>4</v>
      </c>
      <c r="H40" s="15">
        <f t="shared" si="19"/>
        <v>5</v>
      </c>
      <c r="I40" s="15">
        <f t="shared" si="19"/>
        <v>6</v>
      </c>
      <c r="J40" s="15">
        <f t="shared" si="19"/>
        <v>7</v>
      </c>
      <c r="K40" s="15">
        <f t="shared" si="19"/>
        <v>8</v>
      </c>
      <c r="L40" s="15">
        <f t="shared" si="19"/>
        <v>9</v>
      </c>
      <c r="M40" s="15">
        <f t="shared" si="19"/>
        <v>10</v>
      </c>
      <c r="N40" s="15">
        <f t="shared" si="19"/>
        <v>11</v>
      </c>
      <c r="O40" s="15">
        <f t="shared" si="19"/>
        <v>12</v>
      </c>
      <c r="P40" s="15">
        <f t="shared" si="19"/>
        <v>13</v>
      </c>
      <c r="Q40" s="15">
        <f t="shared" si="19"/>
        <v>14</v>
      </c>
      <c r="R40" s="15">
        <f t="shared" si="19"/>
        <v>15</v>
      </c>
      <c r="S40" s="15">
        <f t="shared" si="19"/>
        <v>16</v>
      </c>
      <c r="T40" s="15">
        <f t="shared" si="19"/>
        <v>17</v>
      </c>
      <c r="U40" s="15">
        <f t="shared" si="19"/>
        <v>18</v>
      </c>
      <c r="V40" s="16">
        <f t="shared" si="19"/>
        <v>19</v>
      </c>
      <c r="W40"/>
      <c r="X40"/>
      <c r="Y40"/>
      <c r="Z40"/>
      <c r="AA40"/>
      <c r="AB40"/>
    </row>
    <row r="41" spans="1:28" s="13" customFormat="1" x14ac:dyDescent="0.2">
      <c r="C41" s="10" t="s">
        <v>1</v>
      </c>
      <c r="D41" s="3">
        <f>COMBIN($C$40,D40)/COMBIN($C$1,D40)</f>
        <v>0.72</v>
      </c>
      <c r="E41" s="23">
        <f>COMBIN($C$40,E40)/COMBIN($C$1,E40)</f>
        <v>0.51</v>
      </c>
      <c r="F41" s="23">
        <f>COMBIN($C$40,F40)/COMBIN($C$1,F40)</f>
        <v>0.35478260869565215</v>
      </c>
      <c r="G41" s="23">
        <f>COMBIN($C$40,G40)/COMBIN($C$1,G40)</f>
        <v>0.24189723320158099</v>
      </c>
      <c r="H41" s="23">
        <f>COMBIN($C$40,H40)/COMBIN($C$1,H40)</f>
        <v>0.16126482213438736</v>
      </c>
      <c r="I41" s="23">
        <f>COMBIN($C$40,I40)/COMBIN($C$1,I40)</f>
        <v>0.10482213438735181</v>
      </c>
      <c r="J41" s="23">
        <f>COMBIN($C$40,J40)/COMBIN($C$1,J40)</f>
        <v>6.6203453297274784E-2</v>
      </c>
      <c r="K41" s="23">
        <f>COMBIN($C$40,K40)/COMBIN($C$1,K40)</f>
        <v>4.0457665903890161E-2</v>
      </c>
      <c r="L41" s="23">
        <f>COMBIN($C$40,L40)/COMBIN($C$1,L40)</f>
        <v>2.3798627002288325E-2</v>
      </c>
      <c r="M41" s="23">
        <f>COMBIN($C$40,M40)/COMBIN($C$1,M40)</f>
        <v>1.3386727688787188E-2</v>
      </c>
      <c r="N41" s="23">
        <f>COMBIN($C$40,N40)/COMBIN($C$1,N40)</f>
        <v>7.1395881006864979E-3</v>
      </c>
      <c r="O41" s="23">
        <f>COMBIN($C$40,O40)/COMBIN($C$1,O40)</f>
        <v>3.5697940503432494E-3</v>
      </c>
      <c r="P41" s="23">
        <f>COMBIN($C$40,P40)/COMBIN($C$1,P40)</f>
        <v>1.6475972540045763E-3</v>
      </c>
      <c r="Q41" s="23">
        <f>COMBIN($C$40,Q40)/COMBIN($C$1,Q40)</f>
        <v>6.8649885583524025E-4</v>
      </c>
      <c r="R41" s="23">
        <f>COMBIN($C$40,R40)/COMBIN($C$1,R40)</f>
        <v>2.4963594757645107E-4</v>
      </c>
      <c r="S41" s="23">
        <f>COMBIN($C$40,S40)/COMBIN($C$1,S40)</f>
        <v>7.4890784272935301E-5</v>
      </c>
      <c r="T41" s="23">
        <f>COMBIN($C$40,T40)/COMBIN($C$1,T40)</f>
        <v>1.6642396505096735E-5</v>
      </c>
      <c r="U41" s="23">
        <f>COMBIN($C$40,U40)/COMBIN($C$1,U40)</f>
        <v>2.080299563137091E-6</v>
      </c>
      <c r="V41" s="48"/>
      <c r="W41"/>
      <c r="X41"/>
      <c r="Y41"/>
      <c r="Z41"/>
      <c r="AA41"/>
      <c r="AB41"/>
    </row>
    <row r="42" spans="1:28" s="13" customFormat="1" x14ac:dyDescent="0.2">
      <c r="C42" s="11" t="s">
        <v>6</v>
      </c>
      <c r="D42" s="36">
        <f>1/D41</f>
        <v>1.3888888888888888</v>
      </c>
      <c r="E42" s="30">
        <f t="shared" ref="E42:U42" si="20">1/E41</f>
        <v>1.9607843137254901</v>
      </c>
      <c r="F42" s="30">
        <f t="shared" si="20"/>
        <v>2.8186274509803924</v>
      </c>
      <c r="G42" s="30">
        <f t="shared" si="20"/>
        <v>4.1339869281045756</v>
      </c>
      <c r="H42" s="30">
        <f t="shared" si="20"/>
        <v>6.200980392156862</v>
      </c>
      <c r="I42" s="30">
        <f t="shared" si="20"/>
        <v>9.5399698340874775</v>
      </c>
      <c r="J42" s="30">
        <f t="shared" si="20"/>
        <v>15.104952237305184</v>
      </c>
      <c r="K42" s="30">
        <f t="shared" si="20"/>
        <v>24.717194570135746</v>
      </c>
      <c r="L42" s="30">
        <f t="shared" si="20"/>
        <v>42.019230769230774</v>
      </c>
      <c r="M42" s="30">
        <f t="shared" si="20"/>
        <v>74.700854700854691</v>
      </c>
      <c r="N42" s="30">
        <f t="shared" si="20"/>
        <v>140.0641025641026</v>
      </c>
      <c r="O42" s="30">
        <f t="shared" si="20"/>
        <v>280.12820512820514</v>
      </c>
      <c r="P42" s="30">
        <f t="shared" si="20"/>
        <v>606.94444444444457</v>
      </c>
      <c r="Q42" s="30">
        <f t="shared" si="20"/>
        <v>1456.6666666666667</v>
      </c>
      <c r="R42" s="30">
        <f t="shared" si="20"/>
        <v>4005.8333333333326</v>
      </c>
      <c r="S42" s="30">
        <f t="shared" si="20"/>
        <v>13352.777777777777</v>
      </c>
      <c r="T42" s="30">
        <f t="shared" si="20"/>
        <v>60087.499999999993</v>
      </c>
      <c r="U42" s="30">
        <f t="shared" si="20"/>
        <v>480700.00000000017</v>
      </c>
      <c r="V42" s="49"/>
      <c r="W42"/>
      <c r="X42"/>
      <c r="Y42"/>
      <c r="Z42"/>
      <c r="AA42"/>
      <c r="AB42"/>
    </row>
    <row r="43" spans="1:28" s="13" customFormat="1" ht="16" thickBot="1" x14ac:dyDescent="0.25">
      <c r="C43" s="12" t="s">
        <v>8</v>
      </c>
      <c r="D43" s="7">
        <f>$F$1*D42</f>
        <v>1.375</v>
      </c>
      <c r="E43" s="31">
        <f t="shared" ref="E43:U43" si="21">$F$1*E42</f>
        <v>1.9411764705882353</v>
      </c>
      <c r="F43" s="31">
        <f t="shared" si="21"/>
        <v>2.7904411764705883</v>
      </c>
      <c r="G43" s="31">
        <f t="shared" si="21"/>
        <v>4.0926470588235295</v>
      </c>
      <c r="H43" s="31">
        <f t="shared" si="21"/>
        <v>6.138970588235293</v>
      </c>
      <c r="I43" s="31">
        <f t="shared" si="21"/>
        <v>9.4445701357466021</v>
      </c>
      <c r="J43" s="31">
        <f t="shared" si="21"/>
        <v>14.953902714932132</v>
      </c>
      <c r="K43" s="31">
        <f t="shared" si="21"/>
        <v>24.470022624434389</v>
      </c>
      <c r="L43" s="31">
        <f t="shared" si="21"/>
        <v>41.599038461538463</v>
      </c>
      <c r="M43" s="31">
        <f t="shared" si="21"/>
        <v>73.953846153846143</v>
      </c>
      <c r="N43" s="31">
        <f t="shared" si="21"/>
        <v>138.66346153846158</v>
      </c>
      <c r="O43" s="31">
        <f t="shared" si="21"/>
        <v>277.32692307692309</v>
      </c>
      <c r="P43" s="31">
        <f t="shared" si="21"/>
        <v>600.87500000000011</v>
      </c>
      <c r="Q43" s="31">
        <f t="shared" si="21"/>
        <v>1442.1000000000001</v>
      </c>
      <c r="R43" s="31">
        <f t="shared" si="21"/>
        <v>3965.7749999999992</v>
      </c>
      <c r="S43" s="31">
        <f t="shared" si="21"/>
        <v>13219.25</v>
      </c>
      <c r="T43" s="31">
        <f t="shared" si="21"/>
        <v>59486.624999999993</v>
      </c>
      <c r="U43" s="31">
        <f t="shared" si="21"/>
        <v>475893.00000000017</v>
      </c>
      <c r="V43" s="50"/>
      <c r="W43"/>
      <c r="X43"/>
      <c r="Y43"/>
      <c r="Z43"/>
      <c r="AA43"/>
      <c r="AB43"/>
    </row>
    <row r="44" spans="1:28" ht="16" thickBot="1" x14ac:dyDescent="0.25"/>
    <row r="45" spans="1:28" s="13" customFormat="1" ht="16" thickBot="1" x14ac:dyDescent="0.25">
      <c r="A45" s="3" t="s">
        <v>21</v>
      </c>
      <c r="B45" s="14" t="s">
        <v>2</v>
      </c>
      <c r="C45" s="9" t="s">
        <v>3</v>
      </c>
      <c r="D45" s="55" t="s">
        <v>5</v>
      </c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7"/>
      <c r="V45"/>
      <c r="W45"/>
      <c r="X45"/>
      <c r="Y45"/>
      <c r="Z45"/>
      <c r="AA45"/>
      <c r="AB45"/>
    </row>
    <row r="46" spans="1:28" s="13" customFormat="1" ht="16" thickBot="1" x14ac:dyDescent="0.25">
      <c r="A46" s="7"/>
      <c r="B46" s="9">
        <v>8</v>
      </c>
      <c r="C46" s="6">
        <f>$C$1-B46</f>
        <v>17</v>
      </c>
      <c r="D46" s="14">
        <v>1</v>
      </c>
      <c r="E46" s="15">
        <f>D46+1</f>
        <v>2</v>
      </c>
      <c r="F46" s="15">
        <f t="shared" ref="F46:U46" si="22">E46+1</f>
        <v>3</v>
      </c>
      <c r="G46" s="15">
        <f t="shared" si="22"/>
        <v>4</v>
      </c>
      <c r="H46" s="15">
        <f t="shared" si="22"/>
        <v>5</v>
      </c>
      <c r="I46" s="15">
        <f t="shared" si="22"/>
        <v>6</v>
      </c>
      <c r="J46" s="15">
        <f t="shared" si="22"/>
        <v>7</v>
      </c>
      <c r="K46" s="15">
        <f t="shared" si="22"/>
        <v>8</v>
      </c>
      <c r="L46" s="15">
        <f t="shared" si="22"/>
        <v>9</v>
      </c>
      <c r="M46" s="15">
        <f t="shared" si="22"/>
        <v>10</v>
      </c>
      <c r="N46" s="15">
        <f t="shared" si="22"/>
        <v>11</v>
      </c>
      <c r="O46" s="15">
        <f t="shared" si="22"/>
        <v>12</v>
      </c>
      <c r="P46" s="15">
        <f t="shared" si="22"/>
        <v>13</v>
      </c>
      <c r="Q46" s="15">
        <f t="shared" si="22"/>
        <v>14</v>
      </c>
      <c r="R46" s="15">
        <f t="shared" si="22"/>
        <v>15</v>
      </c>
      <c r="S46" s="15">
        <f t="shared" si="22"/>
        <v>16</v>
      </c>
      <c r="T46" s="15">
        <f t="shared" si="22"/>
        <v>17</v>
      </c>
      <c r="U46" s="16">
        <f t="shared" si="22"/>
        <v>18</v>
      </c>
      <c r="V46"/>
      <c r="W46"/>
      <c r="X46"/>
      <c r="Y46"/>
      <c r="Z46"/>
      <c r="AA46"/>
      <c r="AB46"/>
    </row>
    <row r="47" spans="1:28" s="13" customFormat="1" x14ac:dyDescent="0.2">
      <c r="C47" s="10" t="s">
        <v>1</v>
      </c>
      <c r="D47" s="5">
        <f>COMBIN($C$46,D46)/COMBIN($C$1,D46)</f>
        <v>0.68</v>
      </c>
      <c r="E47" s="13">
        <f>COMBIN($C$46,E46)/COMBIN($C$1,E46)</f>
        <v>0.45333333333333331</v>
      </c>
      <c r="F47" s="13">
        <f>COMBIN($C$46,F46)/COMBIN($C$1,F46)</f>
        <v>0.29565217391304349</v>
      </c>
      <c r="G47" s="13">
        <f>COMBIN($C$46,G46)/COMBIN($C$1,G46)</f>
        <v>0.18814229249011855</v>
      </c>
      <c r="H47" s="13">
        <f>COMBIN($C$46,H46)/COMBIN($C$1,H46)</f>
        <v>0.11646903820816867</v>
      </c>
      <c r="I47" s="13">
        <f>COMBIN($C$46,I46)/COMBIN($C$1,I46)</f>
        <v>6.9881422924901196E-2</v>
      </c>
      <c r="J47" s="13">
        <f>COMBIN($C$46,J46)/COMBIN($C$1,J46)</f>
        <v>4.0457665903890147E-2</v>
      </c>
      <c r="K47" s="13">
        <f>COMBIN($C$46,K46)/COMBIN($C$1,K46)</f>
        <v>2.2476481057716755E-2</v>
      </c>
      <c r="L47" s="13">
        <f>COMBIN($C$46,L46)/COMBIN($C$1,L46)</f>
        <v>1.1899313501144164E-2</v>
      </c>
      <c r="M47" s="13">
        <f>COMBIN($C$46,M46)/COMBIN($C$1,M46)</f>
        <v>5.949656750572083E-3</v>
      </c>
      <c r="N47" s="13">
        <f>COMBIN($C$46,N46)/COMBIN($C$1,N46)</f>
        <v>2.776506483600305E-3</v>
      </c>
      <c r="O47" s="13">
        <f>COMBIN($C$46,O46)/COMBIN($C$1,O46)</f>
        <v>1.1899313501144164E-3</v>
      </c>
      <c r="P47" s="13">
        <f>COMBIN($C$46,P46)/COMBIN($C$1,P46)</f>
        <v>4.576659038901601E-4</v>
      </c>
      <c r="Q47" s="13">
        <f>COMBIN($C$46,Q46)/COMBIN($C$1,Q46)</f>
        <v>1.5255530129672007E-4</v>
      </c>
      <c r="R47" s="13">
        <f>COMBIN($C$46,R46)/COMBIN($C$1,R46)</f>
        <v>4.1605991262741838E-5</v>
      </c>
      <c r="S47" s="13">
        <f>COMBIN($C$46,S46)/COMBIN($C$1,S46)</f>
        <v>8.3211982525483675E-6</v>
      </c>
      <c r="T47" s="13">
        <f>COMBIN($C$46,T46)/COMBIN($C$1,T46)</f>
        <v>9.245775836164852E-7</v>
      </c>
      <c r="U47" s="6"/>
      <c r="V47"/>
      <c r="W47"/>
      <c r="X47"/>
      <c r="Y47"/>
      <c r="Z47"/>
      <c r="AA47"/>
      <c r="AB47"/>
    </row>
    <row r="48" spans="1:28" s="13" customFormat="1" x14ac:dyDescent="0.2">
      <c r="C48" s="11" t="s">
        <v>6</v>
      </c>
      <c r="D48" s="5">
        <f>1/D47</f>
        <v>1.4705882352941175</v>
      </c>
      <c r="E48" s="13">
        <f t="shared" ref="E48:T48" si="23">1/E47</f>
        <v>2.2058823529411766</v>
      </c>
      <c r="F48" s="13">
        <f t="shared" si="23"/>
        <v>3.3823529411764706</v>
      </c>
      <c r="G48" s="13">
        <f t="shared" si="23"/>
        <v>5.3151260504201687</v>
      </c>
      <c r="H48" s="13">
        <f t="shared" si="23"/>
        <v>8.5859728506787309</v>
      </c>
      <c r="I48" s="13">
        <f t="shared" si="23"/>
        <v>14.309954751131219</v>
      </c>
      <c r="J48" s="13">
        <f t="shared" si="23"/>
        <v>24.717194570135753</v>
      </c>
      <c r="K48" s="13">
        <f t="shared" si="23"/>
        <v>44.490950226244344</v>
      </c>
      <c r="L48" s="13">
        <f t="shared" si="23"/>
        <v>84.038461538461547</v>
      </c>
      <c r="M48" s="13">
        <f t="shared" si="23"/>
        <v>168.07692307692307</v>
      </c>
      <c r="N48" s="13">
        <f t="shared" si="23"/>
        <v>360.16483516483521</v>
      </c>
      <c r="O48" s="13">
        <f t="shared" si="23"/>
        <v>840.38461538461547</v>
      </c>
      <c r="P48" s="13">
        <f t="shared" si="23"/>
        <v>2185.0000000000005</v>
      </c>
      <c r="Q48" s="13">
        <f t="shared" si="23"/>
        <v>6555</v>
      </c>
      <c r="R48" s="13">
        <f t="shared" si="23"/>
        <v>24035</v>
      </c>
      <c r="S48" s="13">
        <f t="shared" si="23"/>
        <v>120174.99999999999</v>
      </c>
      <c r="T48" s="13">
        <f t="shared" si="23"/>
        <v>1081575</v>
      </c>
      <c r="U48" s="6"/>
      <c r="V48"/>
      <c r="W48"/>
      <c r="X48"/>
      <c r="Y48"/>
      <c r="Z48"/>
      <c r="AA48"/>
      <c r="AB48"/>
    </row>
    <row r="49" spans="1:28" s="13" customFormat="1" ht="16" thickBot="1" x14ac:dyDescent="0.25">
      <c r="C49" s="12" t="s">
        <v>8</v>
      </c>
      <c r="D49" s="32">
        <f>$F$1*D48</f>
        <v>1.4558823529411764</v>
      </c>
      <c r="E49" s="31">
        <f t="shared" ref="E49:T49" si="24">$F$1*E48</f>
        <v>2.1838235294117649</v>
      </c>
      <c r="F49" s="31">
        <f t="shared" si="24"/>
        <v>3.348529411764706</v>
      </c>
      <c r="G49" s="31">
        <f t="shared" si="24"/>
        <v>5.2619747899159668</v>
      </c>
      <c r="H49" s="31">
        <f t="shared" si="24"/>
        <v>8.5001131221719444</v>
      </c>
      <c r="I49" s="31">
        <f t="shared" si="24"/>
        <v>14.166855203619907</v>
      </c>
      <c r="J49" s="31">
        <f t="shared" si="24"/>
        <v>24.470022624434396</v>
      </c>
      <c r="K49" s="31">
        <f t="shared" si="24"/>
        <v>44.046040723981903</v>
      </c>
      <c r="L49" s="31">
        <f t="shared" si="24"/>
        <v>83.198076923076925</v>
      </c>
      <c r="M49" s="31">
        <f t="shared" si="24"/>
        <v>166.39615384615382</v>
      </c>
      <c r="N49" s="31">
        <f t="shared" si="24"/>
        <v>356.56318681318686</v>
      </c>
      <c r="O49" s="31">
        <f t="shared" si="24"/>
        <v>831.98076923076928</v>
      </c>
      <c r="P49" s="31">
        <f t="shared" si="24"/>
        <v>2163.1500000000005</v>
      </c>
      <c r="Q49" s="31">
        <f t="shared" si="24"/>
        <v>6489.45</v>
      </c>
      <c r="R49" s="31">
        <f t="shared" si="24"/>
        <v>23794.65</v>
      </c>
      <c r="S49" s="31">
        <f t="shared" si="24"/>
        <v>118973.24999999999</v>
      </c>
      <c r="T49" s="31">
        <f t="shared" si="24"/>
        <v>1070759.25</v>
      </c>
      <c r="U49" s="8"/>
      <c r="V49"/>
      <c r="W49"/>
      <c r="X49"/>
      <c r="Y49"/>
      <c r="Z49"/>
      <c r="AA49"/>
      <c r="AB49"/>
    </row>
    <row r="50" spans="1:28" ht="16" thickBot="1" x14ac:dyDescent="0.25"/>
    <row r="51" spans="1:28" s="13" customFormat="1" ht="16" thickBot="1" x14ac:dyDescent="0.25">
      <c r="A51" s="3" t="s">
        <v>22</v>
      </c>
      <c r="B51" s="14" t="s">
        <v>2</v>
      </c>
      <c r="C51" s="9" t="s">
        <v>3</v>
      </c>
      <c r="D51" s="55" t="s">
        <v>5</v>
      </c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7"/>
      <c r="U51"/>
      <c r="V51"/>
      <c r="W51"/>
      <c r="X51"/>
      <c r="Y51"/>
      <c r="Z51"/>
      <c r="AA51"/>
      <c r="AB51"/>
    </row>
    <row r="52" spans="1:28" s="13" customFormat="1" ht="16" thickBot="1" x14ac:dyDescent="0.25">
      <c r="A52" s="7"/>
      <c r="B52" s="9">
        <v>9</v>
      </c>
      <c r="C52" s="6">
        <f>$C$1-B52</f>
        <v>16</v>
      </c>
      <c r="D52" s="14">
        <v>1</v>
      </c>
      <c r="E52" s="15">
        <f>D52+1</f>
        <v>2</v>
      </c>
      <c r="F52" s="15">
        <f t="shared" ref="F52:T52" si="25">E52+1</f>
        <v>3</v>
      </c>
      <c r="G52" s="15">
        <f t="shared" si="25"/>
        <v>4</v>
      </c>
      <c r="H52" s="15">
        <f t="shared" si="25"/>
        <v>5</v>
      </c>
      <c r="I52" s="15">
        <f t="shared" si="25"/>
        <v>6</v>
      </c>
      <c r="J52" s="15">
        <f t="shared" si="25"/>
        <v>7</v>
      </c>
      <c r="K52" s="15">
        <f t="shared" si="25"/>
        <v>8</v>
      </c>
      <c r="L52" s="15">
        <f t="shared" si="25"/>
        <v>9</v>
      </c>
      <c r="M52" s="15">
        <f t="shared" si="25"/>
        <v>10</v>
      </c>
      <c r="N52" s="15">
        <f t="shared" si="25"/>
        <v>11</v>
      </c>
      <c r="O52" s="15">
        <f t="shared" si="25"/>
        <v>12</v>
      </c>
      <c r="P52" s="15">
        <f t="shared" si="25"/>
        <v>13</v>
      </c>
      <c r="Q52" s="15">
        <f t="shared" si="25"/>
        <v>14</v>
      </c>
      <c r="R52" s="15">
        <f t="shared" si="25"/>
        <v>15</v>
      </c>
      <c r="S52" s="15">
        <f t="shared" si="25"/>
        <v>16</v>
      </c>
      <c r="T52" s="16">
        <f t="shared" si="25"/>
        <v>17</v>
      </c>
      <c r="U52"/>
      <c r="V52"/>
      <c r="W52"/>
      <c r="X52"/>
      <c r="Y52"/>
      <c r="Z52"/>
      <c r="AA52"/>
      <c r="AB52"/>
    </row>
    <row r="53" spans="1:28" s="13" customFormat="1" x14ac:dyDescent="0.2">
      <c r="C53" s="10" t="s">
        <v>1</v>
      </c>
      <c r="D53" s="5">
        <f>COMBIN($C$52,D52)/COMBIN($C$1,D52)</f>
        <v>0.64</v>
      </c>
      <c r="E53" s="17">
        <f>COMBIN($C$52,E52)/COMBIN($C$1,E52)</f>
        <v>0.4</v>
      </c>
      <c r="F53" s="17">
        <f>COMBIN($C$52,F52)/COMBIN($C$1,F52)</f>
        <v>0.24347826086956523</v>
      </c>
      <c r="G53" s="17">
        <f>COMBIN($C$52,G52)/COMBIN($C$1,G52)</f>
        <v>0.14387351778656127</v>
      </c>
      <c r="H53" s="17">
        <f>COMBIN($C$52,H52)/COMBIN($C$1,H52)</f>
        <v>8.2213438735177877E-2</v>
      </c>
      <c r="I53" s="17">
        <f>COMBIN($C$52,I52)/COMBIN($C$1,I52)</f>
        <v>4.5217391304347834E-2</v>
      </c>
      <c r="J53" s="17">
        <f>COMBIN($C$52,J52)/COMBIN($C$1,J52)</f>
        <v>2.3798627002288325E-2</v>
      </c>
      <c r="K53" s="17">
        <f>COMBIN($C$52,K52)/COMBIN($C$1,K52)</f>
        <v>1.1899313501144163E-2</v>
      </c>
      <c r="L53" s="17">
        <f>COMBIN($C$52,L52)/COMBIN($C$1,L52)</f>
        <v>5.599676941714901E-3</v>
      </c>
      <c r="M53" s="17">
        <f>COMBIN($C$52,M52)/COMBIN($C$1,M52)</f>
        <v>2.4498586620002698E-3</v>
      </c>
      <c r="N53" s="17">
        <f>COMBIN($C$52,N52)/COMBIN($C$1,N52)</f>
        <v>9.7994346480010774E-4</v>
      </c>
      <c r="O53" s="17">
        <f>COMBIN($C$52,O52)/COMBIN($C$1,O52)</f>
        <v>3.4997980885718131E-4</v>
      </c>
      <c r="P53" s="17">
        <f>COMBIN($C$52,P52)/COMBIN($C$1,P52)</f>
        <v>1.0768609503297885E-4</v>
      </c>
      <c r="Q53" s="17">
        <f>COMBIN($C$52,Q52)/COMBIN($C$1,Q52)</f>
        <v>2.6921523758244717E-5</v>
      </c>
      <c r="R53" s="17">
        <f>COMBIN($C$52,R52)/COMBIN($C$1,R52)</f>
        <v>4.89482250149904E-6</v>
      </c>
      <c r="S53" s="17">
        <f>COMBIN($C$52,S52)/COMBIN($C$1,S52)</f>
        <v>4.8948225014990389E-7</v>
      </c>
      <c r="T53" s="4"/>
      <c r="U53"/>
      <c r="V53"/>
      <c r="W53"/>
      <c r="X53"/>
      <c r="Y53"/>
      <c r="Z53"/>
      <c r="AA53"/>
      <c r="AB53"/>
    </row>
    <row r="54" spans="1:28" s="13" customFormat="1" x14ac:dyDescent="0.2">
      <c r="C54" s="11" t="s">
        <v>6</v>
      </c>
      <c r="D54" s="5">
        <f>1/D53</f>
        <v>1.5625</v>
      </c>
      <c r="E54" s="13">
        <f t="shared" ref="E54:S54" si="26">1/E53</f>
        <v>2.5</v>
      </c>
      <c r="F54" s="13">
        <f t="shared" si="26"/>
        <v>4.1071428571428568</v>
      </c>
      <c r="G54" s="13">
        <f t="shared" si="26"/>
        <v>6.9505494505494507</v>
      </c>
      <c r="H54" s="13">
        <f t="shared" si="26"/>
        <v>12.163461538461537</v>
      </c>
      <c r="I54" s="13">
        <f t="shared" si="26"/>
        <v>22.11538461538461</v>
      </c>
      <c r="J54" s="13">
        <f t="shared" si="26"/>
        <v>42.019230769230774</v>
      </c>
      <c r="K54" s="13">
        <f t="shared" si="26"/>
        <v>84.038461538461547</v>
      </c>
      <c r="L54" s="13">
        <f t="shared" si="26"/>
        <v>178.58173076923077</v>
      </c>
      <c r="M54" s="13">
        <f t="shared" si="26"/>
        <v>408.18681318681308</v>
      </c>
      <c r="N54" s="13">
        <f t="shared" si="26"/>
        <v>1020.4670329670329</v>
      </c>
      <c r="O54" s="13">
        <f t="shared" si="26"/>
        <v>2857.3076923076924</v>
      </c>
      <c r="P54" s="13">
        <f t="shared" si="26"/>
        <v>9286.2500000000018</v>
      </c>
      <c r="Q54" s="13">
        <f t="shared" si="26"/>
        <v>37145</v>
      </c>
      <c r="R54" s="13">
        <f t="shared" si="26"/>
        <v>204297.49999999997</v>
      </c>
      <c r="S54" s="13">
        <f t="shared" si="26"/>
        <v>2042975.0000000002</v>
      </c>
      <c r="T54" s="6"/>
      <c r="U54"/>
      <c r="V54"/>
      <c r="W54"/>
      <c r="X54"/>
      <c r="Y54"/>
      <c r="Z54"/>
      <c r="AA54"/>
      <c r="AB54"/>
    </row>
    <row r="55" spans="1:28" s="13" customFormat="1" ht="16" thickBot="1" x14ac:dyDescent="0.25">
      <c r="C55" s="12" t="s">
        <v>8</v>
      </c>
      <c r="D55" s="7">
        <f>$F$1*D54</f>
        <v>1.546875</v>
      </c>
      <c r="E55" s="18">
        <f t="shared" ref="E55:S55" si="27">$F$1*E54</f>
        <v>2.4750000000000001</v>
      </c>
      <c r="F55" s="28">
        <f t="shared" si="27"/>
        <v>4.0660714285714281</v>
      </c>
      <c r="G55" s="28">
        <f t="shared" si="27"/>
        <v>6.881043956043956</v>
      </c>
      <c r="H55" s="28">
        <f t="shared" si="27"/>
        <v>12.041826923076922</v>
      </c>
      <c r="I55" s="28">
        <f t="shared" si="27"/>
        <v>21.894230769230763</v>
      </c>
      <c r="J55" s="28">
        <f t="shared" si="27"/>
        <v>41.599038461538463</v>
      </c>
      <c r="K55" s="28">
        <f t="shared" si="27"/>
        <v>83.198076923076925</v>
      </c>
      <c r="L55" s="28">
        <f t="shared" si="27"/>
        <v>176.79591346153848</v>
      </c>
      <c r="M55" s="28">
        <f t="shared" si="27"/>
        <v>404.10494505494495</v>
      </c>
      <c r="N55" s="28">
        <f t="shared" si="27"/>
        <v>1010.2623626373626</v>
      </c>
      <c r="O55" s="28">
        <f t="shared" si="27"/>
        <v>2828.7346153846156</v>
      </c>
      <c r="P55" s="28">
        <f t="shared" si="27"/>
        <v>9193.3875000000025</v>
      </c>
      <c r="Q55" s="28">
        <f t="shared" si="27"/>
        <v>36773.550000000003</v>
      </c>
      <c r="R55" s="28">
        <f t="shared" si="27"/>
        <v>202254.52499999997</v>
      </c>
      <c r="S55" s="28">
        <f t="shared" si="27"/>
        <v>2022545.2500000002</v>
      </c>
      <c r="T55" s="8"/>
      <c r="U55"/>
      <c r="V55"/>
      <c r="W55"/>
      <c r="X55"/>
      <c r="Y55"/>
      <c r="Z55"/>
      <c r="AA55"/>
      <c r="AB55"/>
    </row>
    <row r="56" spans="1:28" ht="16" thickBot="1" x14ac:dyDescent="0.25"/>
    <row r="57" spans="1:28" s="13" customFormat="1" ht="16" thickBot="1" x14ac:dyDescent="0.25">
      <c r="A57" s="3" t="s">
        <v>23</v>
      </c>
      <c r="B57" s="14" t="s">
        <v>2</v>
      </c>
      <c r="C57" s="9" t="s">
        <v>3</v>
      </c>
      <c r="D57" s="55" t="s">
        <v>5</v>
      </c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7"/>
      <c r="T57"/>
      <c r="U57"/>
      <c r="V57"/>
      <c r="W57"/>
      <c r="X57"/>
      <c r="Y57"/>
      <c r="Z57"/>
      <c r="AA57"/>
      <c r="AB57"/>
    </row>
    <row r="58" spans="1:28" s="13" customFormat="1" ht="16" thickBot="1" x14ac:dyDescent="0.25">
      <c r="A58" s="7"/>
      <c r="B58" s="9">
        <v>10</v>
      </c>
      <c r="C58" s="6">
        <f>$C$1-B58</f>
        <v>15</v>
      </c>
      <c r="D58" s="14">
        <v>1</v>
      </c>
      <c r="E58" s="15">
        <f>D58+1</f>
        <v>2</v>
      </c>
      <c r="F58" s="15">
        <f t="shared" ref="F58:S58" si="28">E58+1</f>
        <v>3</v>
      </c>
      <c r="G58" s="15">
        <f t="shared" si="28"/>
        <v>4</v>
      </c>
      <c r="H58" s="15">
        <f t="shared" si="28"/>
        <v>5</v>
      </c>
      <c r="I58" s="15">
        <f t="shared" si="28"/>
        <v>6</v>
      </c>
      <c r="J58" s="15">
        <f t="shared" si="28"/>
        <v>7</v>
      </c>
      <c r="K58" s="15">
        <f t="shared" si="28"/>
        <v>8</v>
      </c>
      <c r="L58" s="15">
        <f t="shared" si="28"/>
        <v>9</v>
      </c>
      <c r="M58" s="15">
        <f t="shared" si="28"/>
        <v>10</v>
      </c>
      <c r="N58" s="15">
        <f t="shared" si="28"/>
        <v>11</v>
      </c>
      <c r="O58" s="15">
        <f t="shared" si="28"/>
        <v>12</v>
      </c>
      <c r="P58" s="15">
        <f t="shared" si="28"/>
        <v>13</v>
      </c>
      <c r="Q58" s="15">
        <f t="shared" si="28"/>
        <v>14</v>
      </c>
      <c r="R58" s="15">
        <f t="shared" si="28"/>
        <v>15</v>
      </c>
      <c r="S58" s="16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3" customFormat="1" x14ac:dyDescent="0.2">
      <c r="C59" s="10" t="s">
        <v>1</v>
      </c>
      <c r="D59" s="3">
        <f>COMBIN($C$58,D58)/COMBIN($C$1,D58)</f>
        <v>0.6</v>
      </c>
      <c r="E59" s="17">
        <f>COMBIN($C$58,E58)/COMBIN($C$1,E58)</f>
        <v>0.35</v>
      </c>
      <c r="F59" s="17">
        <f>COMBIN($C$58,F58)/COMBIN($C$1,F58)</f>
        <v>0.19782608695652176</v>
      </c>
      <c r="G59" s="17">
        <f>COMBIN($C$58,G58)/COMBIN($C$1,G58)</f>
        <v>0.10790513833992094</v>
      </c>
      <c r="H59" s="17">
        <f>COMBIN($C$58,H58)/COMBIN($C$1,H58)</f>
        <v>5.6521739130434789E-2</v>
      </c>
      <c r="I59" s="17">
        <f>COMBIN($C$58,I58)/COMBIN($C$1,I58)</f>
        <v>2.8260869565217395E-2</v>
      </c>
      <c r="J59" s="17">
        <f>COMBIN($C$58,J58)/COMBIN($C$1,J58)</f>
        <v>1.3386727688787179E-2</v>
      </c>
      <c r="K59" s="17">
        <f>COMBIN($C$58,K58)/COMBIN($C$1,K58)</f>
        <v>5.9496567505720813E-3</v>
      </c>
      <c r="L59" s="17">
        <f>COMBIN($C$58,L58)/COMBIN($C$1,L58)</f>
        <v>2.4498586620002693E-3</v>
      </c>
      <c r="M59" s="17">
        <f>COMBIN($C$58,M58)/COMBIN($C$1,M58)</f>
        <v>9.1869699825010106E-4</v>
      </c>
      <c r="N59" s="17">
        <f>COMBIN($C$58,N58)/COMBIN($C$1,N58)</f>
        <v>3.0623233275003367E-4</v>
      </c>
      <c r="O59" s="17">
        <f>COMBIN($C$58,O58)/COMBIN($C$1,O58)</f>
        <v>8.7494952214295328E-5</v>
      </c>
      <c r="P59" s="17">
        <f>COMBIN($C$58,P58)/COMBIN($C$1,P58)</f>
        <v>2.0191142818683533E-5</v>
      </c>
      <c r="Q59" s="17">
        <f>COMBIN($C$58,Q58)/COMBIN($C$1,Q58)</f>
        <v>3.3651904697805896E-6</v>
      </c>
      <c r="R59" s="17">
        <f>COMBIN($C$58,R58)/COMBIN($C$1,R58)</f>
        <v>3.0592640634369E-7</v>
      </c>
      <c r="S59" s="4"/>
      <c r="T59"/>
      <c r="U59"/>
      <c r="V59"/>
      <c r="W59"/>
      <c r="X59"/>
      <c r="Y59"/>
      <c r="Z59"/>
      <c r="AA59"/>
      <c r="AB59"/>
    </row>
    <row r="60" spans="1:28" s="13" customFormat="1" x14ac:dyDescent="0.2">
      <c r="C60" s="11" t="s">
        <v>6</v>
      </c>
      <c r="D60" s="5">
        <f>1/D59</f>
        <v>1.6666666666666667</v>
      </c>
      <c r="E60" s="13">
        <f t="shared" ref="E60:R60" si="29">1/E59</f>
        <v>2.8571428571428572</v>
      </c>
      <c r="F60" s="13">
        <f t="shared" si="29"/>
        <v>5.0549450549450547</v>
      </c>
      <c r="G60" s="13">
        <f t="shared" si="29"/>
        <v>9.2673992673992682</v>
      </c>
      <c r="H60" s="13">
        <f t="shared" si="29"/>
        <v>17.69230769230769</v>
      </c>
      <c r="I60" s="13">
        <f t="shared" si="29"/>
        <v>35.38461538461538</v>
      </c>
      <c r="J60" s="13">
        <f t="shared" si="29"/>
        <v>74.700854700854734</v>
      </c>
      <c r="K60" s="13">
        <f t="shared" si="29"/>
        <v>168.07692307692309</v>
      </c>
      <c r="L60" s="13">
        <f t="shared" si="29"/>
        <v>408.18681318681314</v>
      </c>
      <c r="M60" s="13">
        <f t="shared" si="29"/>
        <v>1088.4981684981683</v>
      </c>
      <c r="N60" s="13">
        <f t="shared" si="29"/>
        <v>3265.4945054945051</v>
      </c>
      <c r="O60" s="13">
        <f t="shared" si="29"/>
        <v>11429.23076923077</v>
      </c>
      <c r="P60" s="13">
        <f t="shared" si="29"/>
        <v>49526.666666666679</v>
      </c>
      <c r="Q60" s="13">
        <f t="shared" si="29"/>
        <v>297160</v>
      </c>
      <c r="R60" s="13">
        <f t="shared" si="29"/>
        <v>3268759.9999999995</v>
      </c>
      <c r="S60" s="6"/>
      <c r="T60"/>
      <c r="U60"/>
      <c r="V60"/>
      <c r="W60"/>
      <c r="X60"/>
      <c r="Y60"/>
      <c r="Z60"/>
      <c r="AA60"/>
      <c r="AB60"/>
    </row>
    <row r="61" spans="1:28" s="13" customFormat="1" ht="16" thickBot="1" x14ac:dyDescent="0.25">
      <c r="C61" s="12" t="s">
        <v>8</v>
      </c>
      <c r="D61" s="7">
        <f>$F$1*D60</f>
        <v>1.6500000000000001</v>
      </c>
      <c r="E61" s="18">
        <f t="shared" ref="E61:R61" si="30">$F$1*E60</f>
        <v>2.8285714285714287</v>
      </c>
      <c r="F61" s="18">
        <f t="shared" si="30"/>
        <v>5.0043956043956044</v>
      </c>
      <c r="G61" s="18">
        <f t="shared" si="30"/>
        <v>9.1747252747252759</v>
      </c>
      <c r="H61" s="18">
        <f t="shared" si="30"/>
        <v>17.515384615384612</v>
      </c>
      <c r="I61" s="18">
        <f t="shared" si="30"/>
        <v>35.030769230769224</v>
      </c>
      <c r="J61" s="18">
        <f t="shared" si="30"/>
        <v>73.953846153846186</v>
      </c>
      <c r="K61" s="18">
        <f t="shared" si="30"/>
        <v>166.39615384615385</v>
      </c>
      <c r="L61" s="18">
        <f t="shared" si="30"/>
        <v>404.10494505494501</v>
      </c>
      <c r="M61" s="18">
        <f t="shared" si="30"/>
        <v>1077.6131868131865</v>
      </c>
      <c r="N61" s="18">
        <f t="shared" si="30"/>
        <v>3232.83956043956</v>
      </c>
      <c r="O61" s="18">
        <f t="shared" si="30"/>
        <v>11314.938461538462</v>
      </c>
      <c r="P61" s="18">
        <f t="shared" si="30"/>
        <v>49031.400000000009</v>
      </c>
      <c r="Q61" s="18">
        <f t="shared" si="30"/>
        <v>294188.40000000002</v>
      </c>
      <c r="R61" s="18">
        <f t="shared" si="30"/>
        <v>3236072.3999999994</v>
      </c>
      <c r="S61" s="8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3" customFormat="1" ht="16" thickBot="1" x14ac:dyDescent="0.25">
      <c r="A63" s="3" t="s">
        <v>24</v>
      </c>
      <c r="B63" s="14" t="s">
        <v>2</v>
      </c>
      <c r="C63" s="9" t="s">
        <v>3</v>
      </c>
      <c r="D63" s="55" t="s">
        <v>5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7"/>
      <c r="S63"/>
      <c r="T63"/>
      <c r="U63"/>
      <c r="V63"/>
      <c r="W63"/>
      <c r="X63"/>
      <c r="Y63"/>
      <c r="Z63"/>
      <c r="AA63"/>
      <c r="AB63"/>
    </row>
    <row r="64" spans="1:28" s="13" customFormat="1" ht="16" thickBot="1" x14ac:dyDescent="0.25">
      <c r="A64" s="7"/>
      <c r="B64" s="9">
        <v>11</v>
      </c>
      <c r="C64" s="6">
        <f>$C$1-B64</f>
        <v>14</v>
      </c>
      <c r="D64" s="14">
        <v>1</v>
      </c>
      <c r="E64" s="15">
        <f>D64+1</f>
        <v>2</v>
      </c>
      <c r="F64" s="15">
        <f t="shared" ref="F64:R64" si="31">E64+1</f>
        <v>3</v>
      </c>
      <c r="G64" s="15">
        <f t="shared" si="31"/>
        <v>4</v>
      </c>
      <c r="H64" s="15">
        <f t="shared" si="31"/>
        <v>5</v>
      </c>
      <c r="I64" s="15">
        <f t="shared" si="31"/>
        <v>6</v>
      </c>
      <c r="J64" s="15">
        <f t="shared" si="31"/>
        <v>7</v>
      </c>
      <c r="K64" s="15">
        <f t="shared" si="31"/>
        <v>8</v>
      </c>
      <c r="L64" s="15">
        <f t="shared" si="31"/>
        <v>9</v>
      </c>
      <c r="M64" s="15">
        <f t="shared" si="31"/>
        <v>10</v>
      </c>
      <c r="N64" s="15">
        <f t="shared" si="31"/>
        <v>11</v>
      </c>
      <c r="O64" s="15">
        <f t="shared" si="31"/>
        <v>12</v>
      </c>
      <c r="P64" s="15">
        <f t="shared" si="31"/>
        <v>13</v>
      </c>
      <c r="Q64" s="15">
        <f t="shared" si="31"/>
        <v>14</v>
      </c>
      <c r="R64" s="16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3" customFormat="1" x14ac:dyDescent="0.2">
      <c r="C65" s="10" t="s">
        <v>1</v>
      </c>
      <c r="D65" s="3">
        <f>COMBIN($C$64,D64)/COMBIN($C$1,D64)</f>
        <v>0.56000000000000005</v>
      </c>
      <c r="E65" s="17">
        <f>COMBIN($C$64,E64)/COMBIN($C$1,E64)</f>
        <v>0.30333333333333334</v>
      </c>
      <c r="F65" s="17">
        <f>COMBIN($C$64,F64)/COMBIN($C$1,F64)</f>
        <v>0.1582608695652174</v>
      </c>
      <c r="G65" s="17">
        <f>COMBIN($C$64,G64)/COMBIN($C$1,G64)</f>
        <v>7.9130434782608686E-2</v>
      </c>
      <c r="H65" s="17">
        <f>COMBIN($C$64,H64)/COMBIN($C$1,H64)</f>
        <v>3.7681159420289857E-2</v>
      </c>
      <c r="I65" s="17">
        <f>COMBIN($C$64,I64)/COMBIN($C$1,I64)</f>
        <v>1.6956521739130436E-2</v>
      </c>
      <c r="J65" s="17">
        <f>COMBIN($C$64,J64)/COMBIN($C$1,J64)</f>
        <v>7.139588100686497E-3</v>
      </c>
      <c r="K65" s="17">
        <f>COMBIN($C$64,K64)/COMBIN($C$1,K64)</f>
        <v>2.7765064836003045E-3</v>
      </c>
      <c r="L65" s="17">
        <f>COMBIN($C$64,L64)/COMBIN($C$1,L64)</f>
        <v>9.7994346480010774E-4</v>
      </c>
      <c r="M65" s="17">
        <f>COMBIN($C$64,M64)/COMBIN($C$1,M64)</f>
        <v>3.0623233275003372E-4</v>
      </c>
      <c r="N65" s="17">
        <f>COMBIN($C$64,N64)/COMBIN($C$1,N64)</f>
        <v>8.1661955400008974E-5</v>
      </c>
      <c r="O65" s="17">
        <f>COMBIN($C$64,O64)/COMBIN($C$1,O64)</f>
        <v>1.7498990442859063E-5</v>
      </c>
      <c r="P65" s="17">
        <f>COMBIN($C$64,P64)/COMBIN($C$1,P64)</f>
        <v>2.6921523758244713E-6</v>
      </c>
      <c r="Q65" s="17">
        <f>COMBIN($C$64,Q64)/COMBIN($C$1,Q64)</f>
        <v>2.2434603131870596E-7</v>
      </c>
      <c r="R65" s="4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3" customFormat="1" x14ac:dyDescent="0.2">
      <c r="C66" s="11" t="s">
        <v>6</v>
      </c>
      <c r="D66" s="37">
        <f>1/D65</f>
        <v>1.7857142857142856</v>
      </c>
      <c r="E66" s="24">
        <f t="shared" ref="E66:Q66" si="33">1/E65</f>
        <v>3.2967032967032965</v>
      </c>
      <c r="F66" s="24">
        <f t="shared" si="33"/>
        <v>6.3186813186813184</v>
      </c>
      <c r="G66" s="24">
        <f t="shared" si="33"/>
        <v>12.637362637362639</v>
      </c>
      <c r="H66" s="24">
        <f t="shared" si="33"/>
        <v>26.538461538461537</v>
      </c>
      <c r="I66" s="24">
        <f t="shared" si="33"/>
        <v>58.974358974358971</v>
      </c>
      <c r="J66" s="24">
        <f t="shared" si="33"/>
        <v>140.0641025641026</v>
      </c>
      <c r="K66" s="24">
        <f t="shared" si="33"/>
        <v>360.16483516483527</v>
      </c>
      <c r="L66" s="24">
        <f t="shared" si="33"/>
        <v>1020.4670329670329</v>
      </c>
      <c r="M66" s="24">
        <f t="shared" si="33"/>
        <v>3265.4945054945047</v>
      </c>
      <c r="N66" s="24">
        <f t="shared" si="33"/>
        <v>12245.604395604396</v>
      </c>
      <c r="O66" s="24">
        <f t="shared" si="33"/>
        <v>57146.153846153858</v>
      </c>
      <c r="P66" s="24">
        <f t="shared" si="33"/>
        <v>371450.00000000006</v>
      </c>
      <c r="Q66" s="24">
        <f t="shared" si="33"/>
        <v>4457400</v>
      </c>
      <c r="R66" s="6"/>
      <c r="S66"/>
      <c r="T66"/>
      <c r="U66"/>
      <c r="V66"/>
      <c r="W66"/>
      <c r="X66"/>
      <c r="Y66"/>
      <c r="Z66"/>
      <c r="AA66"/>
      <c r="AB66"/>
    </row>
    <row r="67" spans="1:28" s="13" customFormat="1" ht="16" thickBot="1" x14ac:dyDescent="0.25">
      <c r="C67" s="12" t="s">
        <v>8</v>
      </c>
      <c r="D67" s="34">
        <f>$F$1*D66</f>
        <v>1.7678571428571428</v>
      </c>
      <c r="E67" s="25">
        <f t="shared" ref="E67:Q67" si="34">$F$1*E66</f>
        <v>3.2637362637362637</v>
      </c>
      <c r="F67" s="25">
        <f t="shared" si="34"/>
        <v>6.2554945054945055</v>
      </c>
      <c r="G67" s="25">
        <f t="shared" si="34"/>
        <v>12.510989010989013</v>
      </c>
      <c r="H67" s="25">
        <f t="shared" si="34"/>
        <v>26.273076923076921</v>
      </c>
      <c r="I67" s="25">
        <f t="shared" si="34"/>
        <v>58.38461538461538</v>
      </c>
      <c r="J67" s="25">
        <f t="shared" si="34"/>
        <v>138.66346153846158</v>
      </c>
      <c r="K67" s="25">
        <f t="shared" si="34"/>
        <v>356.56318681318692</v>
      </c>
      <c r="L67" s="25">
        <f t="shared" si="34"/>
        <v>1010.2623626373626</v>
      </c>
      <c r="M67" s="25">
        <f t="shared" si="34"/>
        <v>3232.8395604395596</v>
      </c>
      <c r="N67" s="25">
        <f t="shared" si="34"/>
        <v>12123.148351648351</v>
      </c>
      <c r="O67" s="25">
        <f t="shared" si="34"/>
        <v>56574.692307692319</v>
      </c>
      <c r="P67" s="25">
        <f t="shared" si="34"/>
        <v>367735.50000000006</v>
      </c>
      <c r="Q67" s="25">
        <f t="shared" si="34"/>
        <v>4412826</v>
      </c>
      <c r="R67" s="8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3" customFormat="1" ht="16" thickBot="1" x14ac:dyDescent="0.25">
      <c r="A69" s="3" t="s">
        <v>25</v>
      </c>
      <c r="B69" s="14" t="s">
        <v>2</v>
      </c>
      <c r="C69" s="9" t="s">
        <v>3</v>
      </c>
      <c r="D69" s="55" t="s">
        <v>5</v>
      </c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7"/>
      <c r="R69"/>
      <c r="S69"/>
      <c r="T69"/>
      <c r="U69"/>
      <c r="V69"/>
      <c r="W69"/>
      <c r="X69"/>
      <c r="Y69"/>
      <c r="Z69"/>
      <c r="AA69"/>
      <c r="AB69"/>
    </row>
    <row r="70" spans="1:28" s="13" customFormat="1" ht="16" thickBot="1" x14ac:dyDescent="0.25">
      <c r="A70" s="7"/>
      <c r="B70" s="9">
        <v>12</v>
      </c>
      <c r="C70" s="6">
        <f>$C$1-B70</f>
        <v>13</v>
      </c>
      <c r="D70" s="14">
        <v>1</v>
      </c>
      <c r="E70" s="15">
        <f>D70+1</f>
        <v>2</v>
      </c>
      <c r="F70" s="15">
        <f t="shared" ref="F70:Q70" si="35">E70+1</f>
        <v>3</v>
      </c>
      <c r="G70" s="15">
        <f t="shared" si="35"/>
        <v>4</v>
      </c>
      <c r="H70" s="15">
        <f t="shared" si="35"/>
        <v>5</v>
      </c>
      <c r="I70" s="15">
        <f t="shared" si="35"/>
        <v>6</v>
      </c>
      <c r="J70" s="15">
        <f t="shared" si="35"/>
        <v>7</v>
      </c>
      <c r="K70" s="15">
        <f t="shared" si="35"/>
        <v>8</v>
      </c>
      <c r="L70" s="15">
        <f t="shared" si="35"/>
        <v>9</v>
      </c>
      <c r="M70" s="15">
        <f t="shared" si="35"/>
        <v>10</v>
      </c>
      <c r="N70" s="15">
        <f t="shared" si="35"/>
        <v>11</v>
      </c>
      <c r="O70" s="15">
        <f t="shared" si="35"/>
        <v>12</v>
      </c>
      <c r="P70" s="15">
        <f t="shared" si="35"/>
        <v>13</v>
      </c>
      <c r="Q70" s="16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3" customFormat="1" x14ac:dyDescent="0.2">
      <c r="C71" s="10" t="s">
        <v>1</v>
      </c>
      <c r="D71" s="3">
        <f>COMBIN($C$70,D70)/COMBIN($C$1,D70)</f>
        <v>0.52</v>
      </c>
      <c r="E71" s="17">
        <f>COMBIN($C$70,E70)/COMBIN($C$1,E70)</f>
        <v>0.26</v>
      </c>
      <c r="F71" s="17">
        <f>COMBIN($C$70,F70)/COMBIN($C$1,F70)</f>
        <v>0.12434782608695652</v>
      </c>
      <c r="G71" s="17">
        <f>COMBIN($C$70,G70)/COMBIN($C$1,G70)</f>
        <v>5.6521739130434775E-2</v>
      </c>
      <c r="H71" s="17">
        <f>COMBIN($C$70,H70)/COMBIN($C$1,H70)</f>
        <v>2.4223602484472053E-2</v>
      </c>
      <c r="I71" s="17">
        <f>COMBIN($C$70,I70)/COMBIN($C$1,I70)</f>
        <v>9.6894409937888209E-3</v>
      </c>
      <c r="J71" s="17">
        <f>COMBIN($C$70,J70)/COMBIN($C$1,J70)</f>
        <v>3.5697940503432485E-3</v>
      </c>
      <c r="K71" s="17">
        <f>COMBIN($C$70,K70)/COMBIN($C$1,K70)</f>
        <v>1.1899313501144164E-3</v>
      </c>
      <c r="L71" s="17">
        <f>COMBIN($C$70,L70)/COMBIN($C$1,L70)</f>
        <v>3.4997980885718131E-4</v>
      </c>
      <c r="M71" s="17">
        <f>COMBIN($C$70,M70)/COMBIN($C$1,M70)</f>
        <v>8.7494952214295341E-5</v>
      </c>
      <c r="N71" s="17">
        <f>COMBIN($C$70,N70)/COMBIN($C$1,N70)</f>
        <v>1.7498990442859066E-5</v>
      </c>
      <c r="O71" s="17">
        <f>COMBIN($C$70,O70)/COMBIN($C$1,O70)</f>
        <v>2.4998557775512948E-6</v>
      </c>
      <c r="P71" s="17">
        <f>COMBIN($C$70,P70)/COMBIN($C$1,P70)</f>
        <v>1.9229659827317651E-7</v>
      </c>
      <c r="Q71" s="4"/>
      <c r="R71"/>
      <c r="S71"/>
      <c r="T71"/>
      <c r="U71"/>
      <c r="V71"/>
      <c r="W71"/>
      <c r="X71"/>
      <c r="Y71"/>
      <c r="Z71"/>
      <c r="AA71"/>
      <c r="AB71"/>
    </row>
    <row r="72" spans="1:28" s="13" customFormat="1" x14ac:dyDescent="0.2">
      <c r="C72" s="11" t="s">
        <v>6</v>
      </c>
      <c r="D72" s="5">
        <f>1/D71</f>
        <v>1.9230769230769229</v>
      </c>
      <c r="E72" s="13">
        <f t="shared" ref="E72:P72" si="36">1/E71</f>
        <v>3.8461538461538458</v>
      </c>
      <c r="F72" s="13">
        <f t="shared" si="36"/>
        <v>8.0419580419580416</v>
      </c>
      <c r="G72" s="13">
        <f t="shared" si="36"/>
        <v>17.692307692307693</v>
      </c>
      <c r="H72" s="13">
        <f t="shared" si="36"/>
        <v>41.282051282051277</v>
      </c>
      <c r="I72" s="13">
        <f t="shared" si="36"/>
        <v>103.20512820512819</v>
      </c>
      <c r="J72" s="13">
        <f t="shared" si="36"/>
        <v>280.1282051282052</v>
      </c>
      <c r="K72" s="13">
        <f t="shared" si="36"/>
        <v>840.38461538461547</v>
      </c>
      <c r="L72" s="13">
        <f t="shared" si="36"/>
        <v>2857.3076923076924</v>
      </c>
      <c r="M72" s="13">
        <f t="shared" si="36"/>
        <v>11429.230769230768</v>
      </c>
      <c r="N72" s="13">
        <f t="shared" si="36"/>
        <v>57146.153846153844</v>
      </c>
      <c r="O72" s="13">
        <f t="shared" si="36"/>
        <v>400023.07692307699</v>
      </c>
      <c r="P72" s="13">
        <f t="shared" si="36"/>
        <v>5200300.0000000009</v>
      </c>
      <c r="Q72" s="6"/>
      <c r="R72"/>
      <c r="S72"/>
      <c r="T72"/>
      <c r="U72"/>
      <c r="V72"/>
      <c r="W72"/>
      <c r="X72"/>
      <c r="Y72"/>
      <c r="Z72"/>
      <c r="AA72"/>
      <c r="AB72"/>
    </row>
    <row r="73" spans="1:28" s="13" customFormat="1" ht="16" thickBot="1" x14ac:dyDescent="0.25">
      <c r="C73" s="12" t="s">
        <v>8</v>
      </c>
      <c r="D73" s="7">
        <f>$F$1*D72</f>
        <v>1.9038461538461537</v>
      </c>
      <c r="E73" s="18">
        <f t="shared" ref="E73:P73" si="37">$F$1*E72</f>
        <v>3.8076923076923075</v>
      </c>
      <c r="F73" s="18">
        <f t="shared" si="37"/>
        <v>7.9615384615384608</v>
      </c>
      <c r="G73" s="18">
        <f t="shared" si="37"/>
        <v>17.515384615384615</v>
      </c>
      <c r="H73" s="18">
        <f t="shared" si="37"/>
        <v>40.869230769230761</v>
      </c>
      <c r="I73" s="18">
        <f t="shared" si="37"/>
        <v>102.17307692307691</v>
      </c>
      <c r="J73" s="18">
        <f t="shared" si="37"/>
        <v>277.32692307692315</v>
      </c>
      <c r="K73" s="18">
        <f t="shared" si="37"/>
        <v>831.98076923076928</v>
      </c>
      <c r="L73" s="18">
        <f t="shared" si="37"/>
        <v>2828.7346153846156</v>
      </c>
      <c r="M73" s="18">
        <f t="shared" si="37"/>
        <v>11314.938461538461</v>
      </c>
      <c r="N73" s="18">
        <f t="shared" si="37"/>
        <v>56574.692307692305</v>
      </c>
      <c r="O73" s="18">
        <f t="shared" si="37"/>
        <v>396022.84615384624</v>
      </c>
      <c r="P73" s="18">
        <f t="shared" si="37"/>
        <v>5148297.0000000009</v>
      </c>
      <c r="Q73" s="8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3" customFormat="1" ht="16" thickBot="1" x14ac:dyDescent="0.25">
      <c r="A75" s="3" t="s">
        <v>26</v>
      </c>
      <c r="B75" s="14" t="s">
        <v>2</v>
      </c>
      <c r="C75" s="9" t="s">
        <v>3</v>
      </c>
      <c r="D75" s="55" t="s">
        <v>5</v>
      </c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7"/>
      <c r="Q75"/>
      <c r="R75"/>
      <c r="S75"/>
      <c r="T75"/>
      <c r="U75"/>
      <c r="V75"/>
      <c r="W75"/>
      <c r="X75"/>
      <c r="Y75"/>
      <c r="Z75"/>
      <c r="AA75"/>
      <c r="AB75"/>
    </row>
    <row r="76" spans="1:28" s="13" customFormat="1" ht="16" thickBot="1" x14ac:dyDescent="0.25">
      <c r="A76" s="7"/>
      <c r="B76" s="9">
        <v>13</v>
      </c>
      <c r="C76" s="6">
        <f>$C$1-B76</f>
        <v>12</v>
      </c>
      <c r="D76" s="14">
        <v>1</v>
      </c>
      <c r="E76" s="15">
        <f>D76+1</f>
        <v>2</v>
      </c>
      <c r="F76" s="15">
        <f t="shared" ref="F76:P76" si="38">E76+1</f>
        <v>3</v>
      </c>
      <c r="G76" s="15">
        <f t="shared" si="38"/>
        <v>4</v>
      </c>
      <c r="H76" s="15">
        <f t="shared" si="38"/>
        <v>5</v>
      </c>
      <c r="I76" s="15">
        <f t="shared" si="38"/>
        <v>6</v>
      </c>
      <c r="J76" s="15">
        <f t="shared" si="38"/>
        <v>7</v>
      </c>
      <c r="K76" s="15">
        <f t="shared" si="38"/>
        <v>8</v>
      </c>
      <c r="L76" s="15">
        <f t="shared" si="38"/>
        <v>9</v>
      </c>
      <c r="M76" s="15">
        <f t="shared" si="38"/>
        <v>10</v>
      </c>
      <c r="N76" s="15">
        <f t="shared" si="38"/>
        <v>11</v>
      </c>
      <c r="O76" s="15">
        <f t="shared" si="38"/>
        <v>12</v>
      </c>
      <c r="P76" s="16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3" customFormat="1" x14ac:dyDescent="0.2">
      <c r="C77" s="10" t="s">
        <v>1</v>
      </c>
      <c r="D77" s="3">
        <f>COMBIN($C$76,D76)/COMBIN($C$1,D76)</f>
        <v>0.48</v>
      </c>
      <c r="E77" s="17">
        <f>COMBIN($C$76,E76)/COMBIN($C$1,E76)</f>
        <v>0.22</v>
      </c>
      <c r="F77" s="17">
        <f>COMBIN($C$76,F76)/COMBIN($C$1,F76)</f>
        <v>9.5652173913043481E-2</v>
      </c>
      <c r="G77" s="17">
        <f>COMBIN($C$76,G76)/COMBIN($C$1,G76)</f>
        <v>3.9130434782608692E-2</v>
      </c>
      <c r="H77" s="17">
        <f>COMBIN($C$76,H76)/COMBIN($C$1,H76)</f>
        <v>1.4906832298136647E-2</v>
      </c>
      <c r="I77" s="17">
        <f>COMBIN($C$76,I76)/COMBIN($C$1,I76)</f>
        <v>5.2173913043478256E-3</v>
      </c>
      <c r="J77" s="17">
        <f>COMBIN($C$76,J76)/COMBIN($C$1,J76)</f>
        <v>1.6475972540045763E-3</v>
      </c>
      <c r="K77" s="17">
        <f>COMBIN($C$76,K76)/COMBIN($C$1,K76)</f>
        <v>4.5766590389016021E-4</v>
      </c>
      <c r="L77" s="17">
        <f>COMBIN($C$76,L76)/COMBIN($C$1,L76)</f>
        <v>1.0768609503297887E-4</v>
      </c>
      <c r="M77" s="17">
        <f>COMBIN($C$76,M76)/COMBIN($C$1,M76)</f>
        <v>2.0191142818683539E-5</v>
      </c>
      <c r="N77" s="17">
        <f>COMBIN($C$76,N76)/COMBIN($C$1,N76)</f>
        <v>2.6921523758244718E-6</v>
      </c>
      <c r="O77" s="17">
        <f>COMBIN($C$76,O76)/COMBIN($C$1,O76)</f>
        <v>1.9229659827317651E-7</v>
      </c>
      <c r="P77" s="4"/>
      <c r="Q77"/>
      <c r="R77"/>
      <c r="S77"/>
      <c r="T77"/>
      <c r="U77"/>
      <c r="V77"/>
      <c r="W77"/>
      <c r="X77"/>
      <c r="Y77"/>
      <c r="Z77"/>
      <c r="AA77"/>
      <c r="AB77"/>
    </row>
    <row r="78" spans="1:28" s="13" customFormat="1" x14ac:dyDescent="0.2">
      <c r="C78" s="11" t="s">
        <v>6</v>
      </c>
      <c r="D78" s="5">
        <f>1/D77</f>
        <v>2.0833333333333335</v>
      </c>
      <c r="E78" s="13">
        <f t="shared" ref="E78:O78" si="39">1/E77</f>
        <v>4.5454545454545459</v>
      </c>
      <c r="F78" s="13">
        <f t="shared" si="39"/>
        <v>10.454545454545455</v>
      </c>
      <c r="G78" s="13">
        <f t="shared" si="39"/>
        <v>25.555555555555557</v>
      </c>
      <c r="H78" s="13">
        <f t="shared" si="39"/>
        <v>67.083333333333329</v>
      </c>
      <c r="I78" s="13">
        <f t="shared" si="39"/>
        <v>191.66666666666669</v>
      </c>
      <c r="J78" s="13">
        <f t="shared" si="39"/>
        <v>606.94444444444457</v>
      </c>
      <c r="K78" s="13">
        <f t="shared" si="39"/>
        <v>2185</v>
      </c>
      <c r="L78" s="13">
        <f t="shared" si="39"/>
        <v>9286.25</v>
      </c>
      <c r="M78" s="13">
        <f t="shared" si="39"/>
        <v>49526.666666666664</v>
      </c>
      <c r="N78" s="13">
        <f t="shared" si="39"/>
        <v>371450</v>
      </c>
      <c r="O78" s="13">
        <f t="shared" si="39"/>
        <v>5200300.0000000009</v>
      </c>
      <c r="P78" s="6"/>
      <c r="Q78"/>
      <c r="R78"/>
      <c r="S78"/>
      <c r="T78"/>
      <c r="U78"/>
      <c r="V78"/>
      <c r="W78"/>
      <c r="X78"/>
      <c r="Y78"/>
      <c r="Z78"/>
      <c r="AA78"/>
      <c r="AB78"/>
    </row>
    <row r="79" spans="1:28" s="13" customFormat="1" ht="16" thickBot="1" x14ac:dyDescent="0.25">
      <c r="C79" s="12" t="s">
        <v>8</v>
      </c>
      <c r="D79" s="7">
        <f>$F$1*D78</f>
        <v>2.0625</v>
      </c>
      <c r="E79" s="18">
        <f t="shared" ref="E79:O79" si="40">$F$1*E78</f>
        <v>4.5</v>
      </c>
      <c r="F79" s="18">
        <f t="shared" si="40"/>
        <v>10.35</v>
      </c>
      <c r="G79" s="18">
        <f t="shared" si="40"/>
        <v>25.3</v>
      </c>
      <c r="H79" s="18">
        <f t="shared" si="40"/>
        <v>66.412499999999994</v>
      </c>
      <c r="I79" s="18">
        <f t="shared" si="40"/>
        <v>189.75000000000003</v>
      </c>
      <c r="J79" s="18">
        <f t="shared" si="40"/>
        <v>600.87500000000011</v>
      </c>
      <c r="K79" s="18">
        <f t="shared" si="40"/>
        <v>2163.15</v>
      </c>
      <c r="L79" s="18">
        <f t="shared" si="40"/>
        <v>9193.3875000000007</v>
      </c>
      <c r="M79" s="18">
        <f t="shared" si="40"/>
        <v>49031.399999999994</v>
      </c>
      <c r="N79" s="18">
        <f t="shared" si="40"/>
        <v>367735.5</v>
      </c>
      <c r="O79" s="18">
        <f t="shared" si="40"/>
        <v>5148297.0000000009</v>
      </c>
      <c r="P79" s="8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3" customFormat="1" ht="16" thickBot="1" x14ac:dyDescent="0.25">
      <c r="A81" s="3" t="s">
        <v>27</v>
      </c>
      <c r="B81" s="14" t="s">
        <v>2</v>
      </c>
      <c r="C81" s="9" t="s">
        <v>3</v>
      </c>
      <c r="D81" s="55" t="s">
        <v>5</v>
      </c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7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3" customFormat="1" ht="16" thickBot="1" x14ac:dyDescent="0.25">
      <c r="A82" s="7"/>
      <c r="B82" s="9">
        <v>14</v>
      </c>
      <c r="C82" s="6">
        <f>$C$1-B82</f>
        <v>11</v>
      </c>
      <c r="D82" s="14">
        <v>1</v>
      </c>
      <c r="E82" s="15">
        <f>D82+1</f>
        <v>2</v>
      </c>
      <c r="F82" s="15">
        <f t="shared" ref="F82:O82" si="41">E82+1</f>
        <v>3</v>
      </c>
      <c r="G82" s="15">
        <f t="shared" si="41"/>
        <v>4</v>
      </c>
      <c r="H82" s="15">
        <f t="shared" si="41"/>
        <v>5</v>
      </c>
      <c r="I82" s="15">
        <f t="shared" si="41"/>
        <v>6</v>
      </c>
      <c r="J82" s="15">
        <f t="shared" si="41"/>
        <v>7</v>
      </c>
      <c r="K82" s="15">
        <f t="shared" si="41"/>
        <v>8</v>
      </c>
      <c r="L82" s="15">
        <f t="shared" si="41"/>
        <v>9</v>
      </c>
      <c r="M82" s="15">
        <f t="shared" si="41"/>
        <v>10</v>
      </c>
      <c r="N82" s="15">
        <f t="shared" si="41"/>
        <v>11</v>
      </c>
      <c r="O82" s="16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3" customFormat="1" x14ac:dyDescent="0.2">
      <c r="C83" s="10" t="s">
        <v>1</v>
      </c>
      <c r="D83" s="3">
        <f>COMBIN($C$82,D82)/COMBIN($C$1,D82)</f>
        <v>0.44</v>
      </c>
      <c r="E83" s="17">
        <f>COMBIN($C$82,E82)/COMBIN($C$1,E82)</f>
        <v>0.18333333333333332</v>
      </c>
      <c r="F83" s="17">
        <f>COMBIN($C$82,F82)/COMBIN($C$1,F82)</f>
        <v>7.1739130434782611E-2</v>
      </c>
      <c r="G83" s="17">
        <f>COMBIN($C$82,G82)/COMBIN($C$1,G82)</f>
        <v>2.6086956521739126E-2</v>
      </c>
      <c r="H83" s="17">
        <f>COMBIN($C$82,H82)/COMBIN($C$1,H82)</f>
        <v>8.6956521739130436E-3</v>
      </c>
      <c r="I83" s="17">
        <f>COMBIN($C$82,I82)/COMBIN($C$1,I82)</f>
        <v>2.6086956521739132E-3</v>
      </c>
      <c r="J83" s="17">
        <f>COMBIN($C$82,J82)/COMBIN($C$1,J82)</f>
        <v>6.8649885583524015E-4</v>
      </c>
      <c r="K83" s="17">
        <f>COMBIN($C$82,K82)/COMBIN($C$1,K82)</f>
        <v>1.5255530129672007E-4</v>
      </c>
      <c r="L83" s="17">
        <f>COMBIN($C$82,L82)/COMBIN($C$1,L82)</f>
        <v>2.6921523758244717E-5</v>
      </c>
      <c r="M83" s="17">
        <f>COMBIN($C$82,M82)/COMBIN($C$1,M82)</f>
        <v>3.36519046978059E-6</v>
      </c>
      <c r="N83" s="17">
        <f>COMBIN($C$82,N82)/COMBIN($C$1,N82)</f>
        <v>2.2434603131870596E-7</v>
      </c>
      <c r="O83" s="4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3" customFormat="1" x14ac:dyDescent="0.2">
      <c r="C84" s="11" t="s">
        <v>6</v>
      </c>
      <c r="D84" s="5">
        <f>1/D83</f>
        <v>2.2727272727272729</v>
      </c>
      <c r="E84" s="13">
        <f t="shared" ref="E84:N84" si="42">1/E83</f>
        <v>5.454545454545455</v>
      </c>
      <c r="F84" s="13">
        <f t="shared" si="42"/>
        <v>13.939393939393939</v>
      </c>
      <c r="G84" s="13">
        <f t="shared" si="42"/>
        <v>38.333333333333343</v>
      </c>
      <c r="H84" s="13">
        <f t="shared" si="42"/>
        <v>115</v>
      </c>
      <c r="I84" s="13">
        <f t="shared" si="42"/>
        <v>383.33333333333331</v>
      </c>
      <c r="J84" s="13">
        <f t="shared" si="42"/>
        <v>1456.666666666667</v>
      </c>
      <c r="K84" s="13">
        <f t="shared" si="42"/>
        <v>6555</v>
      </c>
      <c r="L84" s="13">
        <f t="shared" si="42"/>
        <v>37145</v>
      </c>
      <c r="M84" s="13">
        <f t="shared" si="42"/>
        <v>297159.99999999994</v>
      </c>
      <c r="N84" s="13">
        <f t="shared" si="42"/>
        <v>4457400</v>
      </c>
      <c r="O84" s="6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3" customFormat="1" ht="16" thickBot="1" x14ac:dyDescent="0.25">
      <c r="C85" s="12" t="s">
        <v>8</v>
      </c>
      <c r="D85" s="7">
        <f>$F$1*D84</f>
        <v>2.25</v>
      </c>
      <c r="E85" s="18">
        <f t="shared" ref="E85:N85" si="43">$F$1*E84</f>
        <v>5.4</v>
      </c>
      <c r="F85" s="18">
        <f t="shared" si="43"/>
        <v>13.8</v>
      </c>
      <c r="G85" s="18">
        <f t="shared" si="43"/>
        <v>37.95000000000001</v>
      </c>
      <c r="H85" s="18">
        <f t="shared" si="43"/>
        <v>113.85</v>
      </c>
      <c r="I85" s="18">
        <f t="shared" si="43"/>
        <v>379.5</v>
      </c>
      <c r="J85" s="18">
        <f t="shared" si="43"/>
        <v>1442.1000000000004</v>
      </c>
      <c r="K85" s="18">
        <f t="shared" si="43"/>
        <v>6489.45</v>
      </c>
      <c r="L85" s="18">
        <f t="shared" si="43"/>
        <v>36773.550000000003</v>
      </c>
      <c r="M85" s="18">
        <f t="shared" si="43"/>
        <v>294188.39999999997</v>
      </c>
      <c r="N85" s="18">
        <f t="shared" si="43"/>
        <v>4412826</v>
      </c>
      <c r="O85" s="8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3" customFormat="1" ht="16" thickBot="1" x14ac:dyDescent="0.25">
      <c r="A87" s="3" t="s">
        <v>28</v>
      </c>
      <c r="B87" s="14" t="s">
        <v>2</v>
      </c>
      <c r="C87" s="9" t="s">
        <v>3</v>
      </c>
      <c r="D87" s="55" t="s">
        <v>5</v>
      </c>
      <c r="E87" s="56"/>
      <c r="F87" s="56"/>
      <c r="G87" s="56"/>
      <c r="H87" s="56"/>
      <c r="I87" s="56"/>
      <c r="J87" s="56"/>
      <c r="K87" s="56"/>
      <c r="L87" s="56"/>
      <c r="M87" s="56"/>
      <c r="N87" s="5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3" customFormat="1" ht="16" thickBot="1" x14ac:dyDescent="0.25">
      <c r="A88" s="7"/>
      <c r="B88" s="9">
        <v>15</v>
      </c>
      <c r="C88" s="6">
        <f>$C$1-B88</f>
        <v>10</v>
      </c>
      <c r="D88" s="14">
        <v>1</v>
      </c>
      <c r="E88" s="15">
        <f>D88+1</f>
        <v>2</v>
      </c>
      <c r="F88" s="15">
        <f t="shared" ref="F88:N88" si="44">E88+1</f>
        <v>3</v>
      </c>
      <c r="G88" s="15">
        <f t="shared" si="44"/>
        <v>4</v>
      </c>
      <c r="H88" s="15">
        <f t="shared" si="44"/>
        <v>5</v>
      </c>
      <c r="I88" s="15">
        <f t="shared" si="44"/>
        <v>6</v>
      </c>
      <c r="J88" s="15">
        <f t="shared" si="44"/>
        <v>7</v>
      </c>
      <c r="K88" s="15">
        <f t="shared" si="44"/>
        <v>8</v>
      </c>
      <c r="L88" s="15">
        <f t="shared" si="44"/>
        <v>9</v>
      </c>
      <c r="M88" s="15">
        <f t="shared" si="44"/>
        <v>10</v>
      </c>
      <c r="N88" s="16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3" customFormat="1" x14ac:dyDescent="0.2">
      <c r="C89" s="10" t="s">
        <v>1</v>
      </c>
      <c r="D89" s="3">
        <f>COMBIN($C$88,D88)/COMBIN($C$1,D88)</f>
        <v>0.4</v>
      </c>
      <c r="E89" s="17">
        <f>COMBIN($C$88,E88)/COMBIN($C$1,E88)</f>
        <v>0.15</v>
      </c>
      <c r="F89" s="17">
        <f>COMBIN($C$88,F88)/COMBIN($C$1,F88)</f>
        <v>5.2173913043478258E-2</v>
      </c>
      <c r="G89" s="17">
        <f>COMBIN($C$88,G88)/COMBIN($C$1,G88)</f>
        <v>1.6600790513833986E-2</v>
      </c>
      <c r="H89" s="17">
        <f>COMBIN($C$88,H88)/COMBIN($C$1,H88)</f>
        <v>4.7430830039525695E-3</v>
      </c>
      <c r="I89" s="17">
        <f>COMBIN($C$88,I88)/COMBIN($C$1,I88)</f>
        <v>1.1857707509881424E-3</v>
      </c>
      <c r="J89" s="17">
        <f>COMBIN($C$88,J88)/COMBIN($C$1,J88)</f>
        <v>2.4963594757645096E-4</v>
      </c>
      <c r="K89" s="17">
        <f>COMBIN($C$88,K88)/COMBIN($C$1,K88)</f>
        <v>4.1605991262741838E-5</v>
      </c>
      <c r="L89" s="17">
        <f>COMBIN($C$88,L88)/COMBIN($C$1,L88)</f>
        <v>4.8948225014990391E-6</v>
      </c>
      <c r="M89" s="17">
        <f>COMBIN($C$88,M88)/COMBIN($C$1,M88)</f>
        <v>3.0592640634369E-7</v>
      </c>
      <c r="N89" s="4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3" customFormat="1" x14ac:dyDescent="0.2">
      <c r="C90" s="11" t="s">
        <v>6</v>
      </c>
      <c r="D90" s="5">
        <f>1/D89</f>
        <v>2.5</v>
      </c>
      <c r="E90" s="13">
        <f t="shared" ref="E90:M90" si="45">1/E89</f>
        <v>6.666666666666667</v>
      </c>
      <c r="F90" s="13">
        <f t="shared" si="45"/>
        <v>19.166666666666668</v>
      </c>
      <c r="G90" s="13">
        <f t="shared" si="45"/>
        <v>60.238095238095255</v>
      </c>
      <c r="H90" s="13">
        <f t="shared" si="45"/>
        <v>210.83333333333331</v>
      </c>
      <c r="I90" s="13">
        <f t="shared" si="45"/>
        <v>843.33333333333326</v>
      </c>
      <c r="J90" s="13">
        <f t="shared" si="45"/>
        <v>4005.8333333333339</v>
      </c>
      <c r="K90" s="13">
        <f t="shared" si="45"/>
        <v>24035</v>
      </c>
      <c r="L90" s="13">
        <f t="shared" si="45"/>
        <v>204297.5</v>
      </c>
      <c r="M90" s="13">
        <f t="shared" si="45"/>
        <v>3268759.9999999995</v>
      </c>
      <c r="N90" s="6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3" customFormat="1" ht="16" thickBot="1" x14ac:dyDescent="0.25">
      <c r="C91" s="12" t="s">
        <v>8</v>
      </c>
      <c r="D91" s="7">
        <f>$F$1*D90</f>
        <v>2.4750000000000001</v>
      </c>
      <c r="E91" s="18">
        <f t="shared" ref="E91:M91" si="46">$F$1*E90</f>
        <v>6.6000000000000005</v>
      </c>
      <c r="F91" s="18">
        <f t="shared" si="46"/>
        <v>18.975000000000001</v>
      </c>
      <c r="G91" s="18">
        <f t="shared" si="46"/>
        <v>59.6357142857143</v>
      </c>
      <c r="H91" s="18">
        <f t="shared" si="46"/>
        <v>208.72499999999997</v>
      </c>
      <c r="I91" s="18">
        <f t="shared" si="46"/>
        <v>834.89999999999986</v>
      </c>
      <c r="J91" s="18">
        <f t="shared" si="46"/>
        <v>3965.7750000000005</v>
      </c>
      <c r="K91" s="18">
        <f t="shared" si="46"/>
        <v>23794.65</v>
      </c>
      <c r="L91" s="18">
        <f t="shared" si="46"/>
        <v>202254.52499999999</v>
      </c>
      <c r="M91" s="18">
        <f t="shared" si="46"/>
        <v>3236072.3999999994</v>
      </c>
      <c r="N91" s="8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3" customFormat="1" ht="16" thickBot="1" x14ac:dyDescent="0.25">
      <c r="A93" s="3" t="s">
        <v>29</v>
      </c>
      <c r="B93" s="14" t="s">
        <v>2</v>
      </c>
      <c r="C93" s="9" t="s">
        <v>3</v>
      </c>
      <c r="D93" s="55" t="s">
        <v>5</v>
      </c>
      <c r="E93" s="56"/>
      <c r="F93" s="56"/>
      <c r="G93" s="56"/>
      <c r="H93" s="56"/>
      <c r="I93" s="56"/>
      <c r="J93" s="56"/>
      <c r="K93" s="56"/>
      <c r="L93" s="56"/>
      <c r="M93" s="57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3" customFormat="1" ht="16" thickBot="1" x14ac:dyDescent="0.25">
      <c r="A94" s="7"/>
      <c r="B94" s="9">
        <v>16</v>
      </c>
      <c r="C94" s="6">
        <f>$C$1-B94</f>
        <v>9</v>
      </c>
      <c r="D94" s="14">
        <v>1</v>
      </c>
      <c r="E94" s="15">
        <f>D94+1</f>
        <v>2</v>
      </c>
      <c r="F94" s="15">
        <f t="shared" ref="F94:M94" si="47">E94+1</f>
        <v>3</v>
      </c>
      <c r="G94" s="15">
        <f t="shared" si="47"/>
        <v>4</v>
      </c>
      <c r="H94" s="15">
        <f t="shared" si="47"/>
        <v>5</v>
      </c>
      <c r="I94" s="15">
        <f t="shared" si="47"/>
        <v>6</v>
      </c>
      <c r="J94" s="15">
        <f t="shared" si="47"/>
        <v>7</v>
      </c>
      <c r="K94" s="15">
        <f t="shared" si="47"/>
        <v>8</v>
      </c>
      <c r="L94" s="15">
        <f t="shared" si="47"/>
        <v>9</v>
      </c>
      <c r="M94" s="16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3" customFormat="1" x14ac:dyDescent="0.2">
      <c r="C95" s="10" t="s">
        <v>1</v>
      </c>
      <c r="D95" s="3">
        <f>COMBIN($C$94,D94)/COMBIN($C$1,D94)</f>
        <v>0.36</v>
      </c>
      <c r="E95" s="17">
        <f>COMBIN($C$94,E94)/COMBIN($C$1,E94)</f>
        <v>0.12</v>
      </c>
      <c r="F95" s="17">
        <f>COMBIN($C$94,F94)/COMBIN($C$1,F94)</f>
        <v>3.6521739130434779E-2</v>
      </c>
      <c r="G95" s="17">
        <f>COMBIN($C$94,G94)/COMBIN($C$1,G94)</f>
        <v>9.9604743083003943E-3</v>
      </c>
      <c r="H95" s="17">
        <f>COMBIN($C$94,H94)/COMBIN($C$1,H94)</f>
        <v>2.3715415019762848E-3</v>
      </c>
      <c r="I95" s="17">
        <f>COMBIN($C$94,I94)/COMBIN($C$1,I94)</f>
        <v>4.743083003952569E-4</v>
      </c>
      <c r="J95" s="17">
        <f>COMBIN($C$94,J94)/COMBIN($C$1,J94)</f>
        <v>7.4890784272935287E-5</v>
      </c>
      <c r="K95" s="17">
        <f>COMBIN($C$94,K94)/COMBIN($C$1,K94)</f>
        <v>8.3211982525483675E-6</v>
      </c>
      <c r="L95" s="17">
        <f>COMBIN($C$94,L94)/COMBIN($C$1,L94)</f>
        <v>4.8948225014990389E-7</v>
      </c>
      <c r="M95" s="4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3" customFormat="1" x14ac:dyDescent="0.2">
      <c r="C96" s="11" t="s">
        <v>6</v>
      </c>
      <c r="D96" s="39">
        <f>1/D95</f>
        <v>2.7777777777777777</v>
      </c>
      <c r="E96" s="29">
        <f t="shared" ref="E96:L96" si="48">1/E95</f>
        <v>8.3333333333333339</v>
      </c>
      <c r="F96" s="29">
        <f t="shared" si="48"/>
        <v>27.380952380952383</v>
      </c>
      <c r="G96" s="29">
        <f t="shared" si="48"/>
        <v>100.39682539682541</v>
      </c>
      <c r="H96" s="29">
        <f t="shared" si="48"/>
        <v>421.66666666666663</v>
      </c>
      <c r="I96" s="29">
        <f t="shared" si="48"/>
        <v>2108.3333333333335</v>
      </c>
      <c r="J96" s="29">
        <f t="shared" si="48"/>
        <v>13352.777777777781</v>
      </c>
      <c r="K96" s="29">
        <f t="shared" si="48"/>
        <v>120174.99999999999</v>
      </c>
      <c r="L96" s="29">
        <f t="shared" si="48"/>
        <v>2042975.0000000002</v>
      </c>
      <c r="M96" s="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3" customFormat="1" ht="16" thickBot="1" x14ac:dyDescent="0.25">
      <c r="C97" s="12" t="s">
        <v>8</v>
      </c>
      <c r="D97" s="7">
        <f>$F$1*D96</f>
        <v>2.75</v>
      </c>
      <c r="E97" s="18">
        <f t="shared" ref="E97:L97" si="49">$F$1*E96</f>
        <v>8.25</v>
      </c>
      <c r="F97" s="18">
        <f t="shared" si="49"/>
        <v>27.107142857142858</v>
      </c>
      <c r="G97" s="18">
        <f t="shared" si="49"/>
        <v>99.392857142857153</v>
      </c>
      <c r="H97" s="18">
        <f t="shared" si="49"/>
        <v>417.44999999999993</v>
      </c>
      <c r="I97" s="18">
        <f t="shared" si="49"/>
        <v>2087.25</v>
      </c>
      <c r="J97" s="18">
        <f t="shared" si="49"/>
        <v>13219.250000000004</v>
      </c>
      <c r="K97" s="18">
        <f t="shared" si="49"/>
        <v>118973.24999999999</v>
      </c>
      <c r="L97" s="18">
        <f t="shared" si="49"/>
        <v>2022545.2500000002</v>
      </c>
      <c r="M97" s="8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3" customFormat="1" ht="16" thickBot="1" x14ac:dyDescent="0.25">
      <c r="A99" s="3" t="s">
        <v>30</v>
      </c>
      <c r="B99" s="14" t="s">
        <v>2</v>
      </c>
      <c r="C99" s="9" t="s">
        <v>3</v>
      </c>
      <c r="D99" s="55" t="s">
        <v>5</v>
      </c>
      <c r="E99" s="56"/>
      <c r="F99" s="56"/>
      <c r="G99" s="56"/>
      <c r="H99" s="56"/>
      <c r="I99" s="56"/>
      <c r="J99" s="56"/>
      <c r="K99" s="56"/>
      <c r="L99" s="57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3" customFormat="1" ht="16" thickBot="1" x14ac:dyDescent="0.25">
      <c r="A100" s="7"/>
      <c r="B100" s="9">
        <v>17</v>
      </c>
      <c r="C100" s="6">
        <f>$C$1-B100</f>
        <v>8</v>
      </c>
      <c r="D100" s="14">
        <v>1</v>
      </c>
      <c r="E100" s="15">
        <f>D100+1</f>
        <v>2</v>
      </c>
      <c r="F100" s="15">
        <f t="shared" ref="F100:L100" si="50">E100+1</f>
        <v>3</v>
      </c>
      <c r="G100" s="15">
        <f t="shared" si="50"/>
        <v>4</v>
      </c>
      <c r="H100" s="15">
        <f t="shared" si="50"/>
        <v>5</v>
      </c>
      <c r="I100" s="15">
        <f t="shared" si="50"/>
        <v>6</v>
      </c>
      <c r="J100" s="15">
        <f t="shared" si="50"/>
        <v>7</v>
      </c>
      <c r="K100" s="15">
        <f t="shared" si="50"/>
        <v>8</v>
      </c>
      <c r="L100" s="16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3" customFormat="1" x14ac:dyDescent="0.2">
      <c r="C101" s="10" t="s">
        <v>1</v>
      </c>
      <c r="D101" s="3">
        <f>COMBIN($C$100,D100)/COMBIN($C$1,D100)</f>
        <v>0.32</v>
      </c>
      <c r="E101" s="17">
        <f>COMBIN($C$100,E100)/COMBIN($C$1,E100)</f>
        <v>9.3333333333333338E-2</v>
      </c>
      <c r="F101" s="17">
        <f>COMBIN($C$100,F100)/COMBIN($C$1,F100)</f>
        <v>2.4347826086956521E-2</v>
      </c>
      <c r="G101" s="17">
        <f>COMBIN($C$100,G100)/COMBIN($C$1,G100)</f>
        <v>5.5335968379446633E-3</v>
      </c>
      <c r="H101" s="17">
        <f>COMBIN($C$100,H100)/COMBIN($C$1,H100)</f>
        <v>1.0540184453227933E-3</v>
      </c>
      <c r="I101" s="17">
        <f>COMBIN($C$100,I100)/COMBIN($C$1,I100)</f>
        <v>1.58102766798419E-4</v>
      </c>
      <c r="J101" s="17">
        <f>COMBIN($C$100,J100)/COMBIN($C$1,J100)</f>
        <v>1.6642396505096728E-5</v>
      </c>
      <c r="K101" s="17">
        <f>COMBIN($C$100,K100)/COMBIN($C$1,K100)</f>
        <v>9.245775836164852E-7</v>
      </c>
      <c r="L101" s="4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3" customFormat="1" x14ac:dyDescent="0.2">
      <c r="C102" s="11" t="s">
        <v>6</v>
      </c>
      <c r="D102" s="5">
        <f>1/D101</f>
        <v>3.125</v>
      </c>
      <c r="E102" s="13">
        <f t="shared" ref="E102:K102" si="51">1/E101</f>
        <v>10.714285714285714</v>
      </c>
      <c r="F102" s="13">
        <f t="shared" si="51"/>
        <v>41.071428571428569</v>
      </c>
      <c r="G102" s="13">
        <f t="shared" si="51"/>
        <v>180.71428571428575</v>
      </c>
      <c r="H102" s="13">
        <f t="shared" si="51"/>
        <v>948.74999999999989</v>
      </c>
      <c r="I102" s="13">
        <f t="shared" si="51"/>
        <v>6324.9999999999991</v>
      </c>
      <c r="J102" s="13">
        <f t="shared" si="51"/>
        <v>60087.500000000022</v>
      </c>
      <c r="K102" s="13">
        <f t="shared" si="51"/>
        <v>1081575</v>
      </c>
      <c r="L102" s="6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3" customFormat="1" ht="16" thickBot="1" x14ac:dyDescent="0.25">
      <c r="C103" s="12" t="s">
        <v>8</v>
      </c>
      <c r="D103" s="7">
        <f>$F$1*D102</f>
        <v>3.09375</v>
      </c>
      <c r="E103" s="18">
        <f t="shared" ref="E103:K103" si="52">$F$1*E102</f>
        <v>10.607142857142856</v>
      </c>
      <c r="F103" s="18">
        <f t="shared" si="52"/>
        <v>40.660714285714285</v>
      </c>
      <c r="G103" s="18">
        <f t="shared" si="52"/>
        <v>178.9071428571429</v>
      </c>
      <c r="H103" s="18">
        <f t="shared" si="52"/>
        <v>939.26249999999993</v>
      </c>
      <c r="I103" s="18">
        <f t="shared" si="52"/>
        <v>6261.7499999999991</v>
      </c>
      <c r="J103" s="18">
        <f t="shared" si="52"/>
        <v>59486.625000000022</v>
      </c>
      <c r="K103" s="18">
        <f t="shared" si="52"/>
        <v>1070759.25</v>
      </c>
      <c r="L103" s="8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3" customFormat="1" ht="16" thickBot="1" x14ac:dyDescent="0.25">
      <c r="A105" s="3" t="s">
        <v>31</v>
      </c>
      <c r="B105" s="14" t="s">
        <v>2</v>
      </c>
      <c r="C105" s="9" t="s">
        <v>3</v>
      </c>
      <c r="D105" s="55" t="s">
        <v>5</v>
      </c>
      <c r="E105" s="56"/>
      <c r="F105" s="56"/>
      <c r="G105" s="56"/>
      <c r="H105" s="56"/>
      <c r="I105" s="56"/>
      <c r="J105" s="56"/>
      <c r="K105" s="57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3" customFormat="1" ht="16" thickBot="1" x14ac:dyDescent="0.25">
      <c r="A106" s="7"/>
      <c r="B106" s="9">
        <v>18</v>
      </c>
      <c r="C106" s="6">
        <f>$C$1-B106</f>
        <v>7</v>
      </c>
      <c r="D106" s="14">
        <v>1</v>
      </c>
      <c r="E106" s="15">
        <f>D106+1</f>
        <v>2</v>
      </c>
      <c r="F106" s="15">
        <f t="shared" ref="F106:K106" si="53">E106+1</f>
        <v>3</v>
      </c>
      <c r="G106" s="15">
        <f t="shared" si="53"/>
        <v>4</v>
      </c>
      <c r="H106" s="15">
        <f t="shared" si="53"/>
        <v>5</v>
      </c>
      <c r="I106" s="15">
        <f t="shared" si="53"/>
        <v>6</v>
      </c>
      <c r="J106" s="15">
        <f t="shared" si="53"/>
        <v>7</v>
      </c>
      <c r="K106" s="16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3" customFormat="1" x14ac:dyDescent="0.2">
      <c r="C107" s="10" t="s">
        <v>1</v>
      </c>
      <c r="D107" s="3">
        <f>COMBIN($C$106,D106)/COMBIN($C$1,D106)</f>
        <v>0.28000000000000003</v>
      </c>
      <c r="E107" s="17">
        <f>COMBIN($C$106,E106)/COMBIN($C$1,E106)</f>
        <v>7.0000000000000007E-2</v>
      </c>
      <c r="F107" s="23">
        <f>COMBIN($C$106,F106)/COMBIN($C$1,F106)</f>
        <v>1.5217391304347827E-2</v>
      </c>
      <c r="G107" s="23">
        <f>COMBIN($C$106,G106)/COMBIN($C$1,G106)</f>
        <v>2.7667984189723317E-3</v>
      </c>
      <c r="H107" s="23">
        <f>COMBIN($C$106,H106)/COMBIN($C$1,H106)</f>
        <v>3.9525691699604748E-4</v>
      </c>
      <c r="I107" s="17">
        <f>COMBIN($C$106,I106)/COMBIN($C$1,I106)</f>
        <v>3.9525691699604751E-5</v>
      </c>
      <c r="J107" s="17">
        <f>COMBIN($C$106,J106)/COMBIN($C$1,J106)</f>
        <v>2.080299563137091E-6</v>
      </c>
      <c r="K107" s="4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3" customFormat="1" x14ac:dyDescent="0.2">
      <c r="C108" s="11" t="s">
        <v>6</v>
      </c>
      <c r="D108" s="36">
        <f>1/D107</f>
        <v>3.5714285714285712</v>
      </c>
      <c r="E108" s="30">
        <f t="shared" ref="E108:J108" si="54">1/E107</f>
        <v>14.285714285714285</v>
      </c>
      <c r="F108" s="30">
        <f t="shared" si="54"/>
        <v>65.714285714285708</v>
      </c>
      <c r="G108" s="30">
        <f t="shared" si="54"/>
        <v>361.4285714285715</v>
      </c>
      <c r="H108" s="30">
        <f t="shared" si="54"/>
        <v>2529.9999999999995</v>
      </c>
      <c r="I108" s="40">
        <f t="shared" si="54"/>
        <v>25299.999999999996</v>
      </c>
      <c r="J108" s="40">
        <f t="shared" si="54"/>
        <v>480700.00000000017</v>
      </c>
      <c r="K108" s="6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3" customFormat="1" ht="16" thickBot="1" x14ac:dyDescent="0.25">
      <c r="C109" s="12" t="s">
        <v>8</v>
      </c>
      <c r="D109" s="32">
        <f>$F$1*D108</f>
        <v>3.5357142857142856</v>
      </c>
      <c r="E109" s="31">
        <f t="shared" ref="E109:J109" si="55">$F$1*E108</f>
        <v>14.142857142857142</v>
      </c>
      <c r="F109" s="31">
        <f t="shared" si="55"/>
        <v>65.05714285714285</v>
      </c>
      <c r="G109" s="31">
        <f t="shared" si="55"/>
        <v>357.8142857142858</v>
      </c>
      <c r="H109" s="31">
        <f t="shared" si="55"/>
        <v>2504.6999999999994</v>
      </c>
      <c r="I109" s="33">
        <f t="shared" si="55"/>
        <v>25046.999999999996</v>
      </c>
      <c r="J109" s="33">
        <f t="shared" si="55"/>
        <v>475893.00000000017</v>
      </c>
      <c r="K109" s="8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3" customFormat="1" ht="16" thickBot="1" x14ac:dyDescent="0.25">
      <c r="A111" s="3" t="s">
        <v>32</v>
      </c>
      <c r="B111" s="14" t="s">
        <v>2</v>
      </c>
      <c r="C111" s="9" t="s">
        <v>3</v>
      </c>
      <c r="D111" s="55" t="s">
        <v>5</v>
      </c>
      <c r="E111" s="56"/>
      <c r="F111" s="56"/>
      <c r="G111" s="56"/>
      <c r="H111" s="56"/>
      <c r="I111" s="56"/>
      <c r="J111" s="57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3" customFormat="1" ht="16" thickBot="1" x14ac:dyDescent="0.25">
      <c r="A112" s="7"/>
      <c r="B112" s="9">
        <v>19</v>
      </c>
      <c r="C112" s="6">
        <f>$C$1-B112</f>
        <v>6</v>
      </c>
      <c r="D112" s="14">
        <v>1</v>
      </c>
      <c r="E112" s="15">
        <f>D112+1</f>
        <v>2</v>
      </c>
      <c r="F112" s="15">
        <f t="shared" ref="F112:J112" si="56">E112+1</f>
        <v>3</v>
      </c>
      <c r="G112" s="15">
        <f t="shared" si="56"/>
        <v>4</v>
      </c>
      <c r="H112" s="15">
        <f t="shared" si="56"/>
        <v>5</v>
      </c>
      <c r="I112" s="15">
        <f t="shared" si="56"/>
        <v>6</v>
      </c>
      <c r="J112" s="16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3" customFormat="1" x14ac:dyDescent="0.2">
      <c r="C113" s="10" t="s">
        <v>1</v>
      </c>
      <c r="D113" s="3">
        <f>COMBIN($C$112,D112)/COMBIN($C$1,D112)</f>
        <v>0.24</v>
      </c>
      <c r="E113" s="17">
        <f>COMBIN($C$112,E112)/COMBIN($C$1,E112)</f>
        <v>0.05</v>
      </c>
      <c r="F113" s="23">
        <f>COMBIN($C$112,F112)/COMBIN($C$1,F112)</f>
        <v>8.6956521739130436E-3</v>
      </c>
      <c r="G113" s="23">
        <f>COMBIN($C$112,G112)/COMBIN($C$1,G112)</f>
        <v>1.1857707509881422E-3</v>
      </c>
      <c r="H113" s="23">
        <f>COMBIN($C$112,H112)/COMBIN($C$1,H112)</f>
        <v>1.1293054771315642E-4</v>
      </c>
      <c r="I113" s="17">
        <f>COMBIN($C$112,I112)/COMBIN($C$1,I112)</f>
        <v>5.6465273856578217E-6</v>
      </c>
      <c r="J113" s="4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3" customFormat="1" x14ac:dyDescent="0.2">
      <c r="C114" s="11" t="s">
        <v>6</v>
      </c>
      <c r="D114" s="38">
        <f>1/D113</f>
        <v>4.166666666666667</v>
      </c>
      <c r="E114" s="40">
        <f t="shared" ref="E114:I114" si="57">1/E113</f>
        <v>20</v>
      </c>
      <c r="F114" s="13">
        <f t="shared" si="57"/>
        <v>115</v>
      </c>
      <c r="G114" s="13">
        <f t="shared" si="57"/>
        <v>843.33333333333337</v>
      </c>
      <c r="H114" s="13">
        <f t="shared" si="57"/>
        <v>8854.9999999999982</v>
      </c>
      <c r="I114" s="13">
        <f t="shared" si="57"/>
        <v>177099.99999999997</v>
      </c>
      <c r="J114" s="6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3" customFormat="1" ht="16" thickBot="1" x14ac:dyDescent="0.25">
      <c r="C115" s="12" t="s">
        <v>8</v>
      </c>
      <c r="D115" s="7">
        <f>$F$1*D114</f>
        <v>4.125</v>
      </c>
      <c r="E115" s="18">
        <f t="shared" ref="E115:I115" si="58">$F$1*E114</f>
        <v>19.8</v>
      </c>
      <c r="F115" s="18">
        <f t="shared" si="58"/>
        <v>113.85</v>
      </c>
      <c r="G115" s="18">
        <f t="shared" si="58"/>
        <v>834.9</v>
      </c>
      <c r="H115" s="18">
        <f t="shared" si="58"/>
        <v>8766.4499999999989</v>
      </c>
      <c r="I115" s="18">
        <f t="shared" si="58"/>
        <v>175328.99999999997</v>
      </c>
      <c r="J115" s="8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3" customFormat="1" ht="16" thickBot="1" x14ac:dyDescent="0.25">
      <c r="A117" s="3" t="s">
        <v>33</v>
      </c>
      <c r="B117" s="14" t="s">
        <v>2</v>
      </c>
      <c r="C117" s="9" t="s">
        <v>3</v>
      </c>
      <c r="D117" s="55" t="s">
        <v>5</v>
      </c>
      <c r="E117" s="56"/>
      <c r="F117" s="56"/>
      <c r="G117" s="56"/>
      <c r="H117" s="56"/>
      <c r="I117" s="5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3" customFormat="1" ht="16" thickBot="1" x14ac:dyDescent="0.25">
      <c r="A118" s="7"/>
      <c r="B118" s="9">
        <v>20</v>
      </c>
      <c r="C118" s="6">
        <f>$C$1-B118</f>
        <v>5</v>
      </c>
      <c r="D118" s="14">
        <v>1</v>
      </c>
      <c r="E118" s="15">
        <f>D118+1</f>
        <v>2</v>
      </c>
      <c r="F118" s="15">
        <f t="shared" ref="F118:I118" si="59">E118+1</f>
        <v>3</v>
      </c>
      <c r="G118" s="15">
        <f t="shared" si="59"/>
        <v>4</v>
      </c>
      <c r="H118" s="15">
        <f t="shared" si="59"/>
        <v>5</v>
      </c>
      <c r="I118" s="16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3" customFormat="1" x14ac:dyDescent="0.2">
      <c r="C119" s="10" t="s">
        <v>1</v>
      </c>
      <c r="D119" s="51">
        <f>COMBIN($C$118,D118)/COMBIN($C$1,D118)</f>
        <v>0.2</v>
      </c>
      <c r="E119" s="17">
        <f>COMBIN($C$118,E118)/COMBIN($C$1,E118)</f>
        <v>3.3333333333333333E-2</v>
      </c>
      <c r="F119" s="17">
        <f>COMBIN($C$118,F118)/COMBIN($C$1,F118)</f>
        <v>4.3478260869565218E-3</v>
      </c>
      <c r="G119" s="17">
        <f>COMBIN($C$118,G118)/COMBIN($C$1,G118)</f>
        <v>3.9525691699604737E-4</v>
      </c>
      <c r="H119" s="17">
        <f>COMBIN($C$118,H118)/COMBIN($C$1,H118)</f>
        <v>1.8821757952192737E-5</v>
      </c>
      <c r="I119" s="4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3" customFormat="1" x14ac:dyDescent="0.2">
      <c r="C120" s="11" t="s">
        <v>6</v>
      </c>
      <c r="D120" s="5">
        <f>1/D119</f>
        <v>5</v>
      </c>
      <c r="E120" s="13">
        <f t="shared" ref="E120:H120" si="60">1/E119</f>
        <v>30</v>
      </c>
      <c r="F120" s="13">
        <f t="shared" si="60"/>
        <v>230</v>
      </c>
      <c r="G120" s="13">
        <f t="shared" si="60"/>
        <v>2530.0000000000005</v>
      </c>
      <c r="H120" s="13">
        <f t="shared" si="60"/>
        <v>53129.999999999993</v>
      </c>
      <c r="I120" s="6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3" customFormat="1" ht="16" thickBot="1" x14ac:dyDescent="0.25">
      <c r="C121" s="12" t="s">
        <v>8</v>
      </c>
      <c r="D121" s="7">
        <f>$F$1*D120</f>
        <v>4.95</v>
      </c>
      <c r="E121" s="18">
        <f t="shared" ref="E121:H121" si="61">$F$1*E120</f>
        <v>29.7</v>
      </c>
      <c r="F121" s="18">
        <f t="shared" si="61"/>
        <v>227.7</v>
      </c>
      <c r="G121" s="18">
        <f t="shared" si="61"/>
        <v>2504.7000000000003</v>
      </c>
      <c r="H121" s="18">
        <f t="shared" si="61"/>
        <v>52598.69999999999</v>
      </c>
      <c r="I121" s="8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3" customFormat="1" ht="16" thickBot="1" x14ac:dyDescent="0.25">
      <c r="A123" s="3" t="s">
        <v>34</v>
      </c>
      <c r="B123" s="14" t="s">
        <v>2</v>
      </c>
      <c r="C123" s="9" t="s">
        <v>3</v>
      </c>
      <c r="D123" s="55" t="s">
        <v>5</v>
      </c>
      <c r="E123" s="56"/>
      <c r="F123" s="56"/>
      <c r="G123" s="56"/>
      <c r="H123" s="57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3" customFormat="1" ht="16" thickBot="1" x14ac:dyDescent="0.25">
      <c r="A124" s="7"/>
      <c r="B124" s="9">
        <v>21</v>
      </c>
      <c r="C124" s="6">
        <f>$C$1-B124</f>
        <v>4</v>
      </c>
      <c r="D124" s="14">
        <v>1</v>
      </c>
      <c r="E124" s="15">
        <f>D124+1</f>
        <v>2</v>
      </c>
      <c r="F124" s="15">
        <f t="shared" ref="F124:H124" si="62">E124+1</f>
        <v>3</v>
      </c>
      <c r="G124" s="15">
        <f t="shared" si="62"/>
        <v>4</v>
      </c>
      <c r="H124" s="16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3" customFormat="1" x14ac:dyDescent="0.2">
      <c r="C125" s="10" t="s">
        <v>1</v>
      </c>
      <c r="D125" s="3">
        <f>COMBIN($C$124,D124)/COMBIN($C$1,D124)</f>
        <v>0.16</v>
      </c>
      <c r="E125" s="17">
        <f>COMBIN($C$124,E124)/COMBIN($C$1,E124)</f>
        <v>0.02</v>
      </c>
      <c r="F125" s="17">
        <f>COMBIN($C$124,F124)/COMBIN($C$1,F124)</f>
        <v>1.7391304347826088E-3</v>
      </c>
      <c r="G125" s="17">
        <f>COMBIN($C$124,G124)/COMBIN($C$1,G124)</f>
        <v>7.9051383399209474E-5</v>
      </c>
      <c r="H125" s="4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3" customFormat="1" x14ac:dyDescent="0.2">
      <c r="C126" s="11" t="s">
        <v>6</v>
      </c>
      <c r="D126" s="5">
        <f>1/D125</f>
        <v>6.25</v>
      </c>
      <c r="E126" s="13">
        <f t="shared" ref="E126:G126" si="63">1/E125</f>
        <v>50</v>
      </c>
      <c r="F126" s="13">
        <f t="shared" si="63"/>
        <v>575</v>
      </c>
      <c r="G126" s="13">
        <f t="shared" si="63"/>
        <v>12650.000000000002</v>
      </c>
      <c r="H126" s="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3" customFormat="1" ht="16" thickBot="1" x14ac:dyDescent="0.25">
      <c r="C127" s="12" t="s">
        <v>8</v>
      </c>
      <c r="D127" s="7">
        <f>$F$1*D126</f>
        <v>6.1875</v>
      </c>
      <c r="E127" s="18">
        <f t="shared" ref="E127:G127" si="64">$F$1*E126</f>
        <v>49.5</v>
      </c>
      <c r="F127" s="18">
        <f t="shared" si="64"/>
        <v>569.25</v>
      </c>
      <c r="G127" s="18">
        <f t="shared" si="64"/>
        <v>12523.500000000002</v>
      </c>
      <c r="H127" s="8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3" customFormat="1" ht="16" thickBot="1" x14ac:dyDescent="0.25">
      <c r="A129" s="3" t="s">
        <v>35</v>
      </c>
      <c r="B129" s="14" t="s">
        <v>2</v>
      </c>
      <c r="C129" s="9" t="s">
        <v>3</v>
      </c>
      <c r="D129" s="55" t="s">
        <v>5</v>
      </c>
      <c r="E129" s="56"/>
      <c r="F129" s="56"/>
      <c r="G129" s="57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3" customFormat="1" ht="16" thickBot="1" x14ac:dyDescent="0.25">
      <c r="A130" s="7"/>
      <c r="B130" s="9">
        <v>22</v>
      </c>
      <c r="C130" s="6">
        <f>$C$1-B130</f>
        <v>3</v>
      </c>
      <c r="D130" s="14">
        <v>1</v>
      </c>
      <c r="E130" s="15">
        <f>D130+1</f>
        <v>2</v>
      </c>
      <c r="F130" s="15">
        <f t="shared" ref="F130:G130" si="65">E130+1</f>
        <v>3</v>
      </c>
      <c r="G130" s="16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3" customFormat="1" x14ac:dyDescent="0.2">
      <c r="C131" s="10" t="s">
        <v>1</v>
      </c>
      <c r="D131" s="3">
        <f>COMBIN($C$130,D130)/COMBIN($C$1,D130)</f>
        <v>0.12</v>
      </c>
      <c r="E131" s="17">
        <f>COMBIN($C$130,E130)/COMBIN($C$1,E130)</f>
        <v>0.01</v>
      </c>
      <c r="F131" s="17">
        <f>COMBIN($C$130,F130)/COMBIN($C$1,F130)</f>
        <v>4.3478260869565219E-4</v>
      </c>
      <c r="G131" s="4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3" customFormat="1" x14ac:dyDescent="0.2">
      <c r="C132" s="11" t="s">
        <v>6</v>
      </c>
      <c r="D132" s="5">
        <f>1/D131</f>
        <v>8.3333333333333339</v>
      </c>
      <c r="E132" s="13">
        <f t="shared" ref="E132:F132" si="66">1/E131</f>
        <v>100</v>
      </c>
      <c r="F132" s="13">
        <f t="shared" si="66"/>
        <v>2300</v>
      </c>
      <c r="G132" s="6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3" customFormat="1" ht="16" thickBot="1" x14ac:dyDescent="0.25">
      <c r="C133" s="12" t="s">
        <v>8</v>
      </c>
      <c r="D133" s="7">
        <f>$F$1*D132</f>
        <v>8.25</v>
      </c>
      <c r="E133" s="18">
        <f t="shared" ref="E133:F133" si="67">$F$1*E132</f>
        <v>99</v>
      </c>
      <c r="F133" s="18">
        <f t="shared" si="67"/>
        <v>2277</v>
      </c>
      <c r="G133" s="8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3" customFormat="1" ht="16" thickBot="1" x14ac:dyDescent="0.25">
      <c r="A135" s="3" t="s">
        <v>36</v>
      </c>
      <c r="B135" s="14" t="s">
        <v>2</v>
      </c>
      <c r="C135" s="9" t="s">
        <v>3</v>
      </c>
      <c r="D135" s="55" t="s">
        <v>5</v>
      </c>
      <c r="E135" s="56"/>
      <c r="F135" s="57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3" customFormat="1" ht="16" thickBot="1" x14ac:dyDescent="0.25">
      <c r="A136" s="7"/>
      <c r="B136" s="9">
        <v>23</v>
      </c>
      <c r="C136" s="6">
        <f>$C$1-B136</f>
        <v>2</v>
      </c>
      <c r="D136" s="14">
        <v>1</v>
      </c>
      <c r="E136" s="15">
        <f>D136+1</f>
        <v>2</v>
      </c>
      <c r="F136" s="16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3" customFormat="1" x14ac:dyDescent="0.2">
      <c r="C137" s="10" t="s">
        <v>1</v>
      </c>
      <c r="D137" s="3">
        <f>COMBIN($C$136,D136)/COMBIN($C$1,D136)</f>
        <v>0.08</v>
      </c>
      <c r="E137" s="17">
        <f>COMBIN($C$136,E136)/COMBIN($C$1,E136)</f>
        <v>3.3333333333333335E-3</v>
      </c>
      <c r="F137" s="4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3" customFormat="1" x14ac:dyDescent="0.2">
      <c r="C138" s="11" t="s">
        <v>6</v>
      </c>
      <c r="D138" s="5">
        <f>1/D137</f>
        <v>12.5</v>
      </c>
      <c r="E138" s="13">
        <f t="shared" ref="E138" si="69">1/E137</f>
        <v>300</v>
      </c>
      <c r="F138" s="6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3" customFormat="1" ht="16" thickBot="1" x14ac:dyDescent="0.25">
      <c r="C139" s="12" t="s">
        <v>8</v>
      </c>
      <c r="D139" s="7">
        <f>$F$1*D138</f>
        <v>12.375</v>
      </c>
      <c r="E139" s="18">
        <f t="shared" ref="E139" si="70">$F$1*E138</f>
        <v>297</v>
      </c>
      <c r="F139" s="8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3" t="s">
        <v>37</v>
      </c>
      <c r="B141" s="14" t="s">
        <v>2</v>
      </c>
      <c r="C141" s="9" t="s">
        <v>3</v>
      </c>
      <c r="D141" s="1" t="s">
        <v>5</v>
      </c>
      <c r="E141" s="2"/>
    </row>
    <row r="142" spans="1:28" ht="16" thickBot="1" x14ac:dyDescent="0.25">
      <c r="A142" s="7"/>
      <c r="B142" s="9">
        <v>24</v>
      </c>
      <c r="C142" s="6">
        <f>$C$1-B142</f>
        <v>1</v>
      </c>
      <c r="D142" s="14">
        <v>1</v>
      </c>
      <c r="E142" s="16">
        <f>D142+1</f>
        <v>2</v>
      </c>
    </row>
    <row r="143" spans="1:28" x14ac:dyDescent="0.2">
      <c r="A143" s="13"/>
      <c r="B143" s="13"/>
      <c r="C143" s="10" t="s">
        <v>1</v>
      </c>
      <c r="D143" s="3">
        <f>COMBIN($C$142,D142)/COMBIN($C$1,D142)</f>
        <v>0.04</v>
      </c>
      <c r="E143" s="4"/>
    </row>
    <row r="144" spans="1:28" x14ac:dyDescent="0.2">
      <c r="A144" s="13"/>
      <c r="B144" s="13"/>
      <c r="C144" s="11" t="s">
        <v>6</v>
      </c>
      <c r="D144" s="5">
        <f>1/D143</f>
        <v>25</v>
      </c>
      <c r="E144" s="6"/>
    </row>
    <row r="145" spans="1:5" ht="16" thickBot="1" x14ac:dyDescent="0.25">
      <c r="A145" s="13"/>
      <c r="B145" s="13"/>
      <c r="C145" s="12" t="s">
        <v>8</v>
      </c>
      <c r="D145" s="7">
        <f>$F$1*D144</f>
        <v>24.75</v>
      </c>
      <c r="E145" s="8"/>
    </row>
  </sheetData>
  <mergeCells count="23">
    <mergeCell ref="D111:J111"/>
    <mergeCell ref="D117:I117"/>
    <mergeCell ref="D123:H123"/>
    <mergeCell ref="D129:G129"/>
    <mergeCell ref="D135:F135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33:W33"/>
    <mergeCell ref="D3:AB3"/>
    <mergeCell ref="D9:AA9"/>
    <mergeCell ref="D15:Z15"/>
    <mergeCell ref="D21:Y21"/>
    <mergeCell ref="D27:X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Limbo_4RTPCombined</vt:lpstr>
      <vt:lpstr>Mine_93</vt:lpstr>
      <vt:lpstr>Mine_95</vt:lpstr>
      <vt:lpstr>Mine_97</vt:lpstr>
      <vt:lpstr>Mine_99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Arghya Chanda</cp:lastModifiedBy>
  <dcterms:created xsi:type="dcterms:W3CDTF">2023-05-25T19:56:54Z</dcterms:created>
  <dcterms:modified xsi:type="dcterms:W3CDTF">2024-11-02T03:08:35Z</dcterms:modified>
</cp:coreProperties>
</file>