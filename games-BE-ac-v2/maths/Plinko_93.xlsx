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FreeLance\Math\Fushen Chong\Crypto\"/>
    </mc:Choice>
  </mc:AlternateContent>
  <xr:revisionPtr revIDLastSave="0" documentId="13_ncr:1_{68A2CBC4-AA13-4B01-89FD-C322EB9FE0FE}" xr6:coauthVersionLast="47" xr6:coauthVersionMax="47" xr10:uidLastSave="{00000000-0000-0000-0000-000000000000}"/>
  <bookViews>
    <workbookView xWindow="-108" yWindow="-108" windowWidth="23256" windowHeight="12456" xr2:uid="{B4F332A6-CCB5-4FF2-B02A-B6A73D912C9B}"/>
  </bookViews>
  <sheets>
    <sheet name="Low" sheetId="3" r:id="rId1"/>
    <sheet name="Medium" sheetId="1" r:id="rId2"/>
    <sheet name="High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B14" i="2"/>
  <c r="Z13" i="2"/>
  <c r="V10" i="2"/>
  <c r="V16" i="3"/>
  <c r="R16" i="3"/>
  <c r="N14" i="3"/>
  <c r="J10" i="3"/>
  <c r="B4" i="2"/>
  <c r="B12" i="2"/>
  <c r="B11" i="2"/>
  <c r="B10" i="2"/>
  <c r="B9" i="2"/>
  <c r="B8" i="2"/>
  <c r="B7" i="2"/>
  <c r="B6" i="2"/>
  <c r="B5" i="2"/>
  <c r="B12" i="3"/>
  <c r="B11" i="3"/>
  <c r="B10" i="3"/>
  <c r="B9" i="3"/>
  <c r="B8" i="3"/>
  <c r="B7" i="3"/>
  <c r="B6" i="3"/>
  <c r="B5" i="3"/>
  <c r="B4" i="3"/>
  <c r="B12" i="1"/>
  <c r="B11" i="1"/>
  <c r="B10" i="1"/>
  <c r="B9" i="1"/>
  <c r="B8" i="1"/>
  <c r="B7" i="1"/>
  <c r="B6" i="1"/>
  <c r="B5" i="1"/>
  <c r="B4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AH16" i="3"/>
  <c r="F12" i="3"/>
  <c r="F6" i="3"/>
  <c r="F8" i="3"/>
  <c r="F7" i="3"/>
  <c r="R6" i="3"/>
  <c r="B14" i="3"/>
  <c r="AH18" i="2"/>
  <c r="R18" i="2"/>
  <c r="N17" i="2"/>
  <c r="R16" i="2"/>
  <c r="AH15" i="2"/>
  <c r="R15" i="2"/>
  <c r="N15" i="2"/>
  <c r="R14" i="2"/>
  <c r="N14" i="2"/>
  <c r="J14" i="2"/>
  <c r="R13" i="2"/>
  <c r="N13" i="2"/>
  <c r="J13" i="2"/>
  <c r="F13" i="2"/>
  <c r="AH16" i="2"/>
  <c r="AH12" i="2"/>
  <c r="AD12" i="2"/>
  <c r="R12" i="2"/>
  <c r="N12" i="2"/>
  <c r="J12" i="2"/>
  <c r="F12" i="2"/>
  <c r="AD18" i="2"/>
  <c r="R11" i="2"/>
  <c r="N11" i="2"/>
  <c r="J11" i="2"/>
  <c r="R10" i="2"/>
  <c r="N10" i="2"/>
  <c r="J10" i="2"/>
  <c r="F10" i="2"/>
  <c r="AH9" i="2"/>
  <c r="R9" i="2"/>
  <c r="N9" i="2"/>
  <c r="J9" i="2"/>
  <c r="F9" i="2"/>
  <c r="AH8" i="2"/>
  <c r="AD8" i="2"/>
  <c r="R8" i="2"/>
  <c r="N8" i="2"/>
  <c r="J8" i="2"/>
  <c r="F6" i="2"/>
  <c r="F8" i="2"/>
  <c r="R7" i="2"/>
  <c r="N7" i="2"/>
  <c r="J7" i="2"/>
  <c r="F7" i="2"/>
  <c r="AH6" i="2"/>
  <c r="R6" i="2"/>
  <c r="N6" i="2"/>
  <c r="J6" i="2"/>
  <c r="AH5" i="2"/>
  <c r="R5" i="2"/>
  <c r="N5" i="2"/>
  <c r="J5" i="2"/>
  <c r="F5" i="2"/>
  <c r="AH4" i="2"/>
  <c r="R4" i="2"/>
  <c r="N4" i="2"/>
  <c r="J4" i="2"/>
  <c r="F4" i="2"/>
  <c r="AH19" i="1"/>
  <c r="AD11" i="1"/>
  <c r="Z4" i="1"/>
  <c r="V4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N17" i="1"/>
  <c r="R18" i="1"/>
  <c r="N15" i="1"/>
  <c r="N14" i="1"/>
  <c r="N13" i="1"/>
  <c r="N12" i="1"/>
  <c r="N11" i="1"/>
  <c r="N10" i="1"/>
  <c r="N9" i="1"/>
  <c r="N8" i="1"/>
  <c r="N7" i="1"/>
  <c r="N6" i="1"/>
  <c r="N5" i="1"/>
  <c r="N4" i="1"/>
  <c r="J14" i="1"/>
  <c r="J13" i="1"/>
  <c r="J12" i="1"/>
  <c r="J11" i="1"/>
  <c r="J10" i="1"/>
  <c r="J9" i="1"/>
  <c r="J8" i="1"/>
  <c r="J7" i="1"/>
  <c r="J6" i="1"/>
  <c r="J5" i="1"/>
  <c r="J4" i="1"/>
  <c r="F13" i="1"/>
  <c r="J16" i="1" l="1"/>
  <c r="Z5" i="2"/>
  <c r="Z16" i="2"/>
  <c r="Z11" i="2"/>
  <c r="Z15" i="2"/>
  <c r="Z7" i="2"/>
  <c r="Z6" i="2"/>
  <c r="Z10" i="2"/>
  <c r="Z4" i="2"/>
  <c r="Z14" i="2"/>
  <c r="Z9" i="2"/>
  <c r="V6" i="2"/>
  <c r="V11" i="2"/>
  <c r="V12" i="2"/>
  <c r="V4" i="2"/>
  <c r="V15" i="2"/>
  <c r="V9" i="2"/>
  <c r="V16" i="2"/>
  <c r="V8" i="2"/>
  <c r="V14" i="2"/>
  <c r="V7" i="2"/>
  <c r="V17" i="2"/>
  <c r="V13" i="2"/>
  <c r="V5" i="2"/>
  <c r="J16" i="2"/>
  <c r="AH15" i="3"/>
  <c r="AH18" i="3"/>
  <c r="AH8" i="3"/>
  <c r="AH12" i="3"/>
  <c r="AD18" i="3"/>
  <c r="AD8" i="3"/>
  <c r="AD12" i="3"/>
  <c r="V17" i="3"/>
  <c r="V6" i="3"/>
  <c r="V4" i="3"/>
  <c r="V9" i="3"/>
  <c r="V7" i="3"/>
  <c r="V12" i="3"/>
  <c r="V15" i="3"/>
  <c r="V11" i="3"/>
  <c r="V8" i="3"/>
  <c r="V13" i="3"/>
  <c r="V14" i="3"/>
  <c r="V10" i="3"/>
  <c r="V5" i="3"/>
  <c r="R10" i="3"/>
  <c r="R18" i="3"/>
  <c r="R5" i="3"/>
  <c r="R9" i="3"/>
  <c r="R4" i="3"/>
  <c r="R8" i="3"/>
  <c r="R12" i="3"/>
  <c r="R14" i="3"/>
  <c r="R11" i="3"/>
  <c r="R7" i="3"/>
  <c r="R15" i="3"/>
  <c r="R13" i="3"/>
  <c r="N17" i="3"/>
  <c r="N15" i="3"/>
  <c r="N12" i="3"/>
  <c r="N6" i="3"/>
  <c r="N9" i="3"/>
  <c r="N11" i="3"/>
  <c r="N8" i="3"/>
  <c r="N5" i="3"/>
  <c r="N10" i="3"/>
  <c r="N7" i="3"/>
  <c r="N13" i="3"/>
  <c r="N4" i="3"/>
  <c r="J5" i="3"/>
  <c r="J12" i="3"/>
  <c r="J14" i="3"/>
  <c r="J9" i="3"/>
  <c r="J13" i="3"/>
  <c r="J4" i="3"/>
  <c r="J8" i="3"/>
  <c r="J11" i="3"/>
  <c r="J7" i="3"/>
  <c r="J6" i="3"/>
  <c r="AD14" i="3"/>
  <c r="AH13" i="3"/>
  <c r="F9" i="3"/>
  <c r="AH9" i="3"/>
  <c r="AD10" i="3"/>
  <c r="F13" i="3"/>
  <c r="F15" i="3"/>
  <c r="AD17" i="3"/>
  <c r="AH19" i="3"/>
  <c r="AD4" i="3"/>
  <c r="AH4" i="3"/>
  <c r="AD5" i="3"/>
  <c r="AH10" i="3"/>
  <c r="AH17" i="3"/>
  <c r="AH14" i="3"/>
  <c r="AD11" i="3"/>
  <c r="AH20" i="3"/>
  <c r="AD9" i="3"/>
  <c r="AH5" i="3"/>
  <c r="F10" i="3"/>
  <c r="F5" i="3"/>
  <c r="AH6" i="3"/>
  <c r="AD7" i="3"/>
  <c r="F11" i="3"/>
  <c r="AD16" i="3"/>
  <c r="AD15" i="3"/>
  <c r="AD13" i="3"/>
  <c r="AD19" i="3"/>
  <c r="F4" i="3"/>
  <c r="AD6" i="3"/>
  <c r="AH7" i="3"/>
  <c r="AH11" i="3"/>
  <c r="AD9" i="2"/>
  <c r="AH13" i="2"/>
  <c r="AH14" i="2"/>
  <c r="Z17" i="2"/>
  <c r="AD19" i="2"/>
  <c r="F15" i="2"/>
  <c r="AD17" i="2"/>
  <c r="AH19" i="2"/>
  <c r="AD15" i="2"/>
  <c r="AD13" i="2"/>
  <c r="AD10" i="2"/>
  <c r="AD5" i="2"/>
  <c r="AH10" i="2"/>
  <c r="AH17" i="2"/>
  <c r="AD14" i="2"/>
  <c r="AD4" i="2"/>
  <c r="AD11" i="2"/>
  <c r="AH20" i="2"/>
  <c r="AD6" i="2"/>
  <c r="AD7" i="2"/>
  <c r="F11" i="2"/>
  <c r="Z12" i="2"/>
  <c r="AD16" i="2"/>
  <c r="Z18" i="2"/>
  <c r="AH7" i="2"/>
  <c r="Z8" i="2"/>
  <c r="AH11" i="2"/>
  <c r="AH14" i="1"/>
  <c r="AH7" i="1"/>
  <c r="AH16" i="1"/>
  <c r="AH17" i="1"/>
  <c r="AH10" i="1"/>
  <c r="AH18" i="1"/>
  <c r="AH4" i="1"/>
  <c r="AH12" i="1"/>
  <c r="AH20" i="1"/>
  <c r="AH5" i="1"/>
  <c r="AH13" i="1"/>
  <c r="AH6" i="1"/>
  <c r="AH15" i="1"/>
  <c r="AH8" i="1"/>
  <c r="AH9" i="1"/>
  <c r="AH11" i="1"/>
  <c r="AD4" i="1"/>
  <c r="AD12" i="1"/>
  <c r="AD5" i="1"/>
  <c r="AD14" i="1"/>
  <c r="AD15" i="1"/>
  <c r="AD8" i="1"/>
  <c r="AD16" i="1"/>
  <c r="AD9" i="1"/>
  <c r="AD17" i="1"/>
  <c r="AD13" i="1"/>
  <c r="AD6" i="1"/>
  <c r="AD7" i="1"/>
  <c r="AD10" i="1"/>
  <c r="AD18" i="1"/>
  <c r="AD19" i="1"/>
  <c r="Z12" i="1"/>
  <c r="Z15" i="1"/>
  <c r="Z5" i="1"/>
  <c r="Z18" i="1"/>
  <c r="Z7" i="1"/>
  <c r="Z11" i="1"/>
  <c r="Z13" i="1"/>
  <c r="Z6" i="1"/>
  <c r="Z14" i="1"/>
  <c r="Z8" i="1"/>
  <c r="Z16" i="1"/>
  <c r="Z9" i="1"/>
  <c r="Z17" i="1"/>
  <c r="Z10" i="1"/>
  <c r="V19" i="1"/>
  <c r="F11" i="1"/>
  <c r="F10" i="1"/>
  <c r="F9" i="1"/>
  <c r="F8" i="1"/>
  <c r="F7" i="1"/>
  <c r="F6" i="1"/>
  <c r="F5" i="1"/>
  <c r="F12" i="1"/>
  <c r="F15" i="1"/>
  <c r="B14" i="1"/>
  <c r="AD21" i="1" l="1"/>
  <c r="V19" i="2"/>
  <c r="AH22" i="2"/>
  <c r="Z20" i="2"/>
  <c r="V19" i="3"/>
  <c r="J16" i="3"/>
  <c r="AH22" i="3"/>
  <c r="AD21" i="3"/>
  <c r="AD21" i="2"/>
  <c r="AH22" i="1"/>
  <c r="Z20" i="1"/>
  <c r="Z12" i="3"/>
  <c r="Z18" i="3"/>
  <c r="Z8" i="3"/>
  <c r="Z16" i="3"/>
  <c r="Z17" i="3"/>
  <c r="Z5" i="3"/>
  <c r="Z9" i="3"/>
  <c r="Z10" i="3"/>
  <c r="Z11" i="3"/>
  <c r="Z14" i="3"/>
  <c r="Z4" i="3"/>
  <c r="Z6" i="3"/>
  <c r="Z13" i="3"/>
  <c r="Z7" i="3"/>
  <c r="Z15" i="3"/>
  <c r="Z20" i="3" l="1"/>
</calcChain>
</file>

<file path=xl/sharedStrings.xml><?xml version="1.0" encoding="utf-8"?>
<sst xmlns="http://schemas.openxmlformats.org/spreadsheetml/2006/main" count="135" uniqueCount="13">
  <si>
    <t>Rows: 8</t>
  </si>
  <si>
    <t>Value</t>
  </si>
  <si>
    <t>Probability</t>
  </si>
  <si>
    <t>Weight</t>
  </si>
  <si>
    <t>RTP</t>
  </si>
  <si>
    <t>Rows : 9</t>
  </si>
  <si>
    <t>Rows: 10</t>
  </si>
  <si>
    <t>Rows: 11</t>
  </si>
  <si>
    <t>Rows: 12</t>
  </si>
  <si>
    <t>Rows: 13</t>
  </si>
  <si>
    <t>Rows: 14</t>
  </si>
  <si>
    <t>Rows: 15</t>
  </si>
  <si>
    <t>Rows: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</si>
</sst>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0000"/>
    <numFmt numFmtId="166" formatCode="0.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10" fontId="0" fillId="0" borderId="0" xfId="1" applyNumberFormat="1" applyFont="1"/>
    <xf numFmtId="0" fontId="2" fillId="2" borderId="0" xfId="0" applyFont="1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0" fillId="0" borderId="11" xfId="0" applyBorder="1"/>
    <xf numFmtId="0" fontId="0" fillId="0" borderId="12" xfId="0" applyBorder="1"/>
    <xf numFmtId="164" fontId="0" fillId="0" borderId="5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1" fontId="0" fillId="0" borderId="0" xfId="0" applyNumberFormat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8" xfId="0" applyNumberFormat="1" applyBorder="1"/>
    <xf numFmtId="1" fontId="0" fillId="0" borderId="9" xfId="0" applyNumberFormat="1" applyBorder="1"/>
    <xf numFmtId="1" fontId="0" fillId="0" borderId="10" xfId="0" applyNumberForma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164" fontId="0" fillId="0" borderId="5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E6BA-D915-47B1-AD8C-8101F164195D}">
  <dimension ref="A2:AI24"/>
  <sheetViews>
    <sheetView tabSelected="1" workbookViewId="0">
      <selection activeCell="AI13" sqref="AI13"/>
    </sheetView>
  </sheetViews>
  <sheetFormatPr defaultRowHeight="14.4" x14ac:dyDescent="0.3"/>
  <cols>
    <col min="2" max="2" width="9.6640625" bestFit="1" customWidth="1"/>
    <col min="3" max="3" width="12.21875" customWidth="1"/>
    <col min="6" max="6" width="11" customWidth="1"/>
    <col min="7" max="7" width="10.21875" customWidth="1"/>
    <col min="10" max="10" width="11" customWidth="1"/>
    <col min="11" max="11" width="9.6640625" customWidth="1"/>
    <col min="14" max="15" width="10.33203125" customWidth="1"/>
    <col min="18" max="18" width="9.6640625" bestFit="1" customWidth="1"/>
    <col min="19" max="19" width="9.6640625" customWidth="1"/>
    <col min="22" max="23" width="9.44140625" customWidth="1"/>
    <col min="26" max="27" width="10.109375" customWidth="1"/>
    <col min="30" max="31" width="9.5546875" customWidth="1"/>
    <col min="34" max="34" width="10.109375" customWidth="1"/>
    <col min="35" max="35" width="10" bestFit="1" customWidth="1"/>
  </cols>
  <sheetData>
    <row r="2" spans="1:35" ht="15" thickBot="1" x14ac:dyDescent="0.35">
      <c r="A2" s="2" t="s">
        <v>0</v>
      </c>
      <c r="E2" s="2" t="s">
        <v>5</v>
      </c>
      <c r="I2" s="2" t="s">
        <v>6</v>
      </c>
      <c r="M2" s="2" t="s">
        <v>7</v>
      </c>
      <c r="Q2" s="2" t="s">
        <v>8</v>
      </c>
      <c r="U2" s="2" t="s">
        <v>9</v>
      </c>
      <c r="Y2" s="2" t="s">
        <v>10</v>
      </c>
      <c r="AC2" s="2" t="s">
        <v>11</v>
      </c>
      <c r="AG2" s="2" t="s">
        <v>12</v>
      </c>
    </row>
    <row r="3" spans="1:35" ht="15" thickBot="1" x14ac:dyDescent="0.35">
      <c r="A3" s="10" t="s">
        <v>1</v>
      </c>
      <c r="B3" s="11" t="s">
        <v>2</v>
      </c>
      <c r="C3" s="10" t="s">
        <v>3</v>
      </c>
      <c r="E3" s="3" t="s">
        <v>1</v>
      </c>
      <c r="F3" s="10" t="s">
        <v>2</v>
      </c>
      <c r="G3" s="10" t="s">
        <v>3</v>
      </c>
      <c r="I3" s="12" t="s">
        <v>1</v>
      </c>
      <c r="J3" s="10" t="s">
        <v>2</v>
      </c>
      <c r="K3" s="7" t="s">
        <v>3</v>
      </c>
      <c r="M3" s="10" t="s">
        <v>1</v>
      </c>
      <c r="N3" s="10" t="s">
        <v>2</v>
      </c>
      <c r="O3" s="7" t="s">
        <v>3</v>
      </c>
      <c r="Q3" s="12" t="s">
        <v>1</v>
      </c>
      <c r="R3" s="11" t="s">
        <v>2</v>
      </c>
      <c r="S3" s="7" t="s">
        <v>3</v>
      </c>
      <c r="U3" s="3" t="s">
        <v>1</v>
      </c>
      <c r="V3" s="10" t="s">
        <v>2</v>
      </c>
      <c r="W3" s="7" t="s">
        <v>3</v>
      </c>
      <c r="Y3" s="10" t="s">
        <v>1</v>
      </c>
      <c r="Z3" s="4" t="s">
        <v>2</v>
      </c>
      <c r="AA3" s="7" t="s">
        <v>3</v>
      </c>
      <c r="AC3" s="10" t="s">
        <v>1</v>
      </c>
      <c r="AD3" s="10" t="s">
        <v>2</v>
      </c>
      <c r="AE3" s="4" t="s">
        <v>3</v>
      </c>
      <c r="AG3" s="10" t="s">
        <v>1</v>
      </c>
      <c r="AH3" s="4" t="s">
        <v>2</v>
      </c>
      <c r="AI3" s="4" t="s">
        <v>3</v>
      </c>
    </row>
    <row r="4" spans="1:35" x14ac:dyDescent="0.3">
      <c r="A4" s="8">
        <v>5.6</v>
      </c>
      <c r="B4" s="13">
        <f>C4/SUM($C$4:$C$12)</f>
        <v>8.9491544838843622E-4</v>
      </c>
      <c r="C4" s="19">
        <v>750</v>
      </c>
      <c r="E4" s="7">
        <v>5.6</v>
      </c>
      <c r="F4" s="29">
        <f>G4/SUM($G$4:$G$13)</f>
        <v>4.6804792810783822E-4</v>
      </c>
      <c r="G4" s="19">
        <v>420</v>
      </c>
      <c r="H4" s="18"/>
      <c r="I4" s="5">
        <v>8.9</v>
      </c>
      <c r="J4" s="33">
        <f>K4/SUM($K$4:$K$14)</f>
        <v>4.1632629179297104E-4</v>
      </c>
      <c r="K4" s="19">
        <v>370</v>
      </c>
      <c r="M4" s="5">
        <v>8.4</v>
      </c>
      <c r="N4" s="16">
        <f>O4/SUM($O$4:$O$15)</f>
        <v>3.4134147198490065E-4</v>
      </c>
      <c r="O4" s="22">
        <v>340</v>
      </c>
      <c r="Q4" s="5">
        <v>10</v>
      </c>
      <c r="R4" s="15">
        <f>S4/SUM($S$4:$S$16)</f>
        <v>2.1594385459780457E-4</v>
      </c>
      <c r="S4" s="22">
        <v>240</v>
      </c>
      <c r="U4" s="7">
        <v>8.1</v>
      </c>
      <c r="V4" s="13">
        <f>W4/SUM($W$4:$W$17)</f>
        <v>8.5232454473084437E-5</v>
      </c>
      <c r="W4" s="22">
        <v>100</v>
      </c>
      <c r="Y4" s="5">
        <v>7.1</v>
      </c>
      <c r="Z4" s="15">
        <f>AA4/SUM($AA$4:$AA$18)</f>
        <v>9.1547029154355995E-5</v>
      </c>
      <c r="AA4" s="22">
        <v>95</v>
      </c>
      <c r="AC4" s="7">
        <v>15</v>
      </c>
      <c r="AD4" s="13">
        <f>AE4/SUM($AE$4:$AE$19)</f>
        <v>4.0097645787020551E-5</v>
      </c>
      <c r="AE4" s="22">
        <v>50</v>
      </c>
      <c r="AG4" s="5">
        <v>16</v>
      </c>
      <c r="AH4" s="15">
        <f>AI4/SUM($AI$4:$AI$20)</f>
        <v>1.543714919078464E-5</v>
      </c>
      <c r="AI4" s="22">
        <v>20</v>
      </c>
    </row>
    <row r="5" spans="1:35" x14ac:dyDescent="0.3">
      <c r="A5" s="8">
        <v>2.1</v>
      </c>
      <c r="B5" s="13">
        <f t="shared" ref="B5:B12" si="0">C5/SUM($C$4:$C$12)</f>
        <v>1.774915639303732E-2</v>
      </c>
      <c r="C5" s="20">
        <v>14875</v>
      </c>
      <c r="E5" s="8">
        <v>2</v>
      </c>
      <c r="F5" s="29">
        <f t="shared" ref="F5:F13" si="1">G5/SUM($G$4:$G$13)</f>
        <v>1.0395121603309321E-2</v>
      </c>
      <c r="G5" s="31">
        <v>9328</v>
      </c>
      <c r="I5" s="5">
        <v>3</v>
      </c>
      <c r="J5" s="33">
        <f t="shared" ref="J5:J14" si="2">K5/SUM($K$4:$K$14)</f>
        <v>5.8690755080868569E-3</v>
      </c>
      <c r="K5" s="20">
        <v>5216</v>
      </c>
      <c r="M5" s="5">
        <v>3</v>
      </c>
      <c r="N5" s="16">
        <f t="shared" ref="N5:N15" si="3">O5/SUM($O$4:$O$15)</f>
        <v>2.0078910116758863E-3</v>
      </c>
      <c r="O5" s="23">
        <v>2000</v>
      </c>
      <c r="Q5" s="5">
        <v>3</v>
      </c>
      <c r="R5" s="16">
        <f t="shared" ref="R5:R16" si="4">S5/SUM($S$4:$S$16)</f>
        <v>2.3933777217923342E-3</v>
      </c>
      <c r="S5" s="23">
        <v>2660</v>
      </c>
      <c r="U5" s="8">
        <v>4</v>
      </c>
      <c r="V5" s="13">
        <f t="shared" ref="V5:V17" si="5">W5/SUM($W$4:$W$17)</f>
        <v>4.2616227236542221E-4</v>
      </c>
      <c r="W5" s="23">
        <v>500</v>
      </c>
      <c r="Y5" s="5">
        <v>4</v>
      </c>
      <c r="Z5" s="16">
        <f>AA5/SUM($AA$4:$AA$18)</f>
        <v>5.4928217492613597E-4</v>
      </c>
      <c r="AA5" s="23">
        <v>570</v>
      </c>
      <c r="AC5" s="8">
        <v>8</v>
      </c>
      <c r="AD5" s="13">
        <f t="shared" ref="AD5:AD19" si="6">AE5/SUM($AE$4:$AE$19)</f>
        <v>3.6729443540910823E-4</v>
      </c>
      <c r="AE5" s="23">
        <v>458</v>
      </c>
      <c r="AG5" s="5">
        <v>9</v>
      </c>
      <c r="AH5" s="16">
        <f t="shared" ref="AH5:AH20" si="7">AI5/SUM($AI$4:$AI$20)</f>
        <v>2.2692609310453419E-4</v>
      </c>
      <c r="AI5" s="23">
        <v>294</v>
      </c>
    </row>
    <row r="6" spans="1:35" x14ac:dyDescent="0.3">
      <c r="A6" s="8">
        <v>1.1000000000000001</v>
      </c>
      <c r="B6" s="13">
        <f t="shared" si="0"/>
        <v>9.7706868655049475E-2</v>
      </c>
      <c r="C6" s="20">
        <v>81885</v>
      </c>
      <c r="E6" s="8">
        <v>1.6</v>
      </c>
      <c r="F6" s="29">
        <f t="shared" si="1"/>
        <v>7.2450476071606873E-2</v>
      </c>
      <c r="G6" s="31">
        <v>65013</v>
      </c>
      <c r="I6" s="5">
        <v>1.4</v>
      </c>
      <c r="J6" s="33">
        <f t="shared" si="2"/>
        <v>4.8434500622239023E-2</v>
      </c>
      <c r="K6" s="20">
        <v>43045</v>
      </c>
      <c r="M6" s="5">
        <v>1.9</v>
      </c>
      <c r="N6" s="16">
        <f t="shared" si="3"/>
        <v>2.4295481241278224E-2</v>
      </c>
      <c r="O6" s="23">
        <v>24200</v>
      </c>
      <c r="Q6" s="5">
        <v>1.6</v>
      </c>
      <c r="R6" s="16">
        <f t="shared" si="4"/>
        <v>1.2182832463559475E-2</v>
      </c>
      <c r="S6" s="23">
        <v>13540</v>
      </c>
      <c r="U6" s="8">
        <v>3</v>
      </c>
      <c r="V6" s="13">
        <f t="shared" si="5"/>
        <v>6.1546355375014274E-3</v>
      </c>
      <c r="W6" s="23">
        <v>7221</v>
      </c>
      <c r="Y6" s="5">
        <v>1.9</v>
      </c>
      <c r="Z6" s="16">
        <f t="shared" ref="Z6:Z18" si="8">AA6/SUM($AA$4:$AA$18)</f>
        <v>4.2400729292543828E-3</v>
      </c>
      <c r="AA6" s="23">
        <v>4400</v>
      </c>
      <c r="AC6" s="8">
        <v>3</v>
      </c>
      <c r="AD6" s="13">
        <f t="shared" si="6"/>
        <v>2.4491642046712155E-3</v>
      </c>
      <c r="AE6" s="23">
        <v>3054</v>
      </c>
      <c r="AG6" s="5">
        <v>2</v>
      </c>
      <c r="AH6" s="16">
        <f t="shared" si="7"/>
        <v>1.1848012003927212E-3</v>
      </c>
      <c r="AI6" s="23">
        <v>1535</v>
      </c>
    </row>
    <row r="7" spans="1:35" x14ac:dyDescent="0.3">
      <c r="A7" s="8">
        <v>1</v>
      </c>
      <c r="B7" s="13">
        <f t="shared" si="0"/>
        <v>0.24681768066553073</v>
      </c>
      <c r="C7" s="20">
        <v>206850</v>
      </c>
      <c r="E7" s="8">
        <v>1</v>
      </c>
      <c r="F7" s="29">
        <f t="shared" si="1"/>
        <v>0.1132375098067185</v>
      </c>
      <c r="G7" s="31">
        <v>101613</v>
      </c>
      <c r="I7" s="5">
        <v>1.1000000000000001</v>
      </c>
      <c r="J7" s="33">
        <f t="shared" si="2"/>
        <v>0.11937087471279112</v>
      </c>
      <c r="K7" s="20">
        <v>106088</v>
      </c>
      <c r="M7" s="5">
        <v>1.3</v>
      </c>
      <c r="N7" s="16">
        <f t="shared" si="3"/>
        <v>6.0644332225646795E-2</v>
      </c>
      <c r="O7" s="23">
        <v>60406</v>
      </c>
      <c r="Q7" s="5">
        <v>1.4</v>
      </c>
      <c r="R7" s="16">
        <f t="shared" si="4"/>
        <v>4.5268130286125606E-2</v>
      </c>
      <c r="S7" s="23">
        <v>50311</v>
      </c>
      <c r="U7" s="8">
        <v>1.9</v>
      </c>
      <c r="V7" s="13">
        <f t="shared" si="5"/>
        <v>2.8733565051966229E-2</v>
      </c>
      <c r="W7" s="23">
        <v>33712</v>
      </c>
      <c r="Y7" s="5">
        <v>1.4</v>
      </c>
      <c r="Z7" s="16">
        <f t="shared" si="8"/>
        <v>1.7650267220959838E-2</v>
      </c>
      <c r="AA7" s="23">
        <v>18316</v>
      </c>
      <c r="AC7" s="8">
        <v>2</v>
      </c>
      <c r="AD7" s="13">
        <f t="shared" si="6"/>
        <v>8.6490621962603334E-3</v>
      </c>
      <c r="AE7" s="23">
        <v>10785</v>
      </c>
      <c r="AG7" s="5">
        <v>1.4</v>
      </c>
      <c r="AH7" s="16">
        <f t="shared" si="7"/>
        <v>7.3866758877904502E-3</v>
      </c>
      <c r="AI7" s="23">
        <v>9570</v>
      </c>
    </row>
    <row r="8" spans="1:35" x14ac:dyDescent="0.3">
      <c r="A8" s="8">
        <v>0.5</v>
      </c>
      <c r="B8" s="13">
        <f t="shared" si="0"/>
        <v>0.27366275767598813</v>
      </c>
      <c r="C8" s="20">
        <v>229348</v>
      </c>
      <c r="E8" s="8">
        <v>0.7</v>
      </c>
      <c r="F8" s="29">
        <f t="shared" si="1"/>
        <v>0.34574031809428712</v>
      </c>
      <c r="G8" s="20">
        <v>310248</v>
      </c>
      <c r="I8" s="5">
        <v>1</v>
      </c>
      <c r="J8" s="33">
        <f t="shared" si="2"/>
        <v>0.16324266421821798</v>
      </c>
      <c r="K8" s="20">
        <v>145078</v>
      </c>
      <c r="M8" s="5">
        <v>1</v>
      </c>
      <c r="N8" s="16">
        <f t="shared" si="3"/>
        <v>0.14075315991847961</v>
      </c>
      <c r="O8" s="23">
        <v>140200</v>
      </c>
      <c r="Q8" s="5">
        <v>1.1000000000000001</v>
      </c>
      <c r="R8" s="16">
        <f t="shared" si="4"/>
        <v>0.11368544178513587</v>
      </c>
      <c r="S8" s="23">
        <v>126350</v>
      </c>
      <c r="U8" s="8">
        <v>1.2</v>
      </c>
      <c r="V8" s="13">
        <f t="shared" si="5"/>
        <v>7.43908862641081E-2</v>
      </c>
      <c r="W8" s="23">
        <v>87280</v>
      </c>
      <c r="Y8" s="5">
        <v>1.3</v>
      </c>
      <c r="Z8" s="16">
        <f t="shared" si="8"/>
        <v>5.8682609340880661E-2</v>
      </c>
      <c r="AA8" s="23">
        <v>60896</v>
      </c>
      <c r="AC8" s="8">
        <v>1.5</v>
      </c>
      <c r="AD8" s="13">
        <f t="shared" si="6"/>
        <v>3.3406150658082563E-2</v>
      </c>
      <c r="AE8" s="23">
        <v>41656</v>
      </c>
      <c r="AG8" s="5">
        <v>1.4</v>
      </c>
      <c r="AH8" s="16">
        <f t="shared" si="7"/>
        <v>2.0663396049324777E-2</v>
      </c>
      <c r="AI8" s="23">
        <v>26771</v>
      </c>
    </row>
    <row r="9" spans="1:35" x14ac:dyDescent="0.3">
      <c r="A9" s="8">
        <v>1</v>
      </c>
      <c r="B9" s="13">
        <f t="shared" si="0"/>
        <v>0.24681768066553073</v>
      </c>
      <c r="C9" s="20">
        <v>206850</v>
      </c>
      <c r="E9" s="8">
        <v>0.7</v>
      </c>
      <c r="F9" s="29">
        <f t="shared" si="1"/>
        <v>0.26115737108622777</v>
      </c>
      <c r="G9" s="20">
        <v>234348</v>
      </c>
      <c r="I9" s="5">
        <v>0.5</v>
      </c>
      <c r="J9" s="33">
        <f t="shared" si="2"/>
        <v>0.32533311729374409</v>
      </c>
      <c r="K9" s="20">
        <v>289132</v>
      </c>
      <c r="M9" s="5">
        <v>0.7</v>
      </c>
      <c r="N9" s="16">
        <f t="shared" si="3"/>
        <v>0.27195779413093457</v>
      </c>
      <c r="O9" s="23">
        <v>270889</v>
      </c>
      <c r="Q9" s="5">
        <v>1</v>
      </c>
      <c r="R9" s="16">
        <f t="shared" si="4"/>
        <v>0.16929098434407056</v>
      </c>
      <c r="S9" s="23">
        <v>188150</v>
      </c>
      <c r="U9" s="8">
        <v>0.9</v>
      </c>
      <c r="V9" s="13">
        <f t="shared" si="5"/>
        <v>0.13553579677855415</v>
      </c>
      <c r="W9" s="23">
        <v>159019</v>
      </c>
      <c r="Y9" s="5">
        <v>1.1000000000000001</v>
      </c>
      <c r="Z9" s="16">
        <f t="shared" si="8"/>
        <v>0.11582337398021428</v>
      </c>
      <c r="AA9" s="23">
        <v>120192</v>
      </c>
      <c r="AC9" s="8">
        <v>1.1000000000000001</v>
      </c>
      <c r="AD9" s="13">
        <f t="shared" si="6"/>
        <v>7.6701984673075874E-2</v>
      </c>
      <c r="AE9" s="23">
        <v>95644</v>
      </c>
      <c r="AG9" s="5">
        <v>1.2</v>
      </c>
      <c r="AH9" s="16">
        <f t="shared" si="7"/>
        <v>4.9514656029441731E-2</v>
      </c>
      <c r="AI9" s="23">
        <v>64150</v>
      </c>
    </row>
    <row r="10" spans="1:35" x14ac:dyDescent="0.3">
      <c r="A10" s="8">
        <v>1.1000000000000001</v>
      </c>
      <c r="B10" s="13">
        <f t="shared" si="0"/>
        <v>9.7706868655049475E-2</v>
      </c>
      <c r="C10" s="20">
        <v>81885</v>
      </c>
      <c r="E10" s="8">
        <v>1</v>
      </c>
      <c r="F10" s="29">
        <f t="shared" si="1"/>
        <v>0.1132375098067185</v>
      </c>
      <c r="G10" s="31">
        <v>101613</v>
      </c>
      <c r="I10" s="5">
        <v>1</v>
      </c>
      <c r="J10" s="33">
        <f t="shared" si="2"/>
        <v>0.16324266421821798</v>
      </c>
      <c r="K10" s="20">
        <v>145078</v>
      </c>
      <c r="M10" s="5">
        <v>0.7</v>
      </c>
      <c r="N10" s="16">
        <f t="shared" si="3"/>
        <v>0.27195779413093457</v>
      </c>
      <c r="O10" s="23">
        <v>270889</v>
      </c>
      <c r="Q10" s="5">
        <v>0.5</v>
      </c>
      <c r="R10" s="16">
        <f t="shared" si="4"/>
        <v>0.31394457441065321</v>
      </c>
      <c r="S10" s="23">
        <v>348918</v>
      </c>
      <c r="U10" s="8">
        <v>0.7</v>
      </c>
      <c r="V10" s="13">
        <f t="shared" si="5"/>
        <v>0.25467372164103158</v>
      </c>
      <c r="W10" s="23">
        <v>298799</v>
      </c>
      <c r="Y10" s="5">
        <v>1</v>
      </c>
      <c r="Z10" s="16">
        <f t="shared" si="8"/>
        <v>0.14844591690613443</v>
      </c>
      <c r="AA10" s="23">
        <v>154045</v>
      </c>
      <c r="AC10" s="8">
        <v>1</v>
      </c>
      <c r="AD10" s="13">
        <f t="shared" si="6"/>
        <v>0.12489694905032736</v>
      </c>
      <c r="AE10" s="23">
        <v>155741</v>
      </c>
      <c r="AG10" s="5">
        <v>1.1000000000000001</v>
      </c>
      <c r="AH10" s="16">
        <f t="shared" si="7"/>
        <v>7.7333942586154725E-2</v>
      </c>
      <c r="AI10" s="23">
        <v>100192</v>
      </c>
    </row>
    <row r="11" spans="1:35" x14ac:dyDescent="0.3">
      <c r="A11" s="8">
        <v>2.1</v>
      </c>
      <c r="B11" s="13">
        <f t="shared" si="0"/>
        <v>1.774915639303732E-2</v>
      </c>
      <c r="C11" s="20">
        <v>14875</v>
      </c>
      <c r="E11" s="8">
        <v>1.6</v>
      </c>
      <c r="F11" s="29">
        <f t="shared" si="1"/>
        <v>7.2450476071606873E-2</v>
      </c>
      <c r="G11" s="31">
        <v>65013</v>
      </c>
      <c r="I11" s="5">
        <v>1.1000000000000001</v>
      </c>
      <c r="J11" s="33">
        <f t="shared" si="2"/>
        <v>0.11937087471279112</v>
      </c>
      <c r="K11" s="20">
        <v>106088</v>
      </c>
      <c r="M11" s="5">
        <v>1</v>
      </c>
      <c r="N11" s="16">
        <f t="shared" si="3"/>
        <v>0.14075315991847961</v>
      </c>
      <c r="O11" s="23">
        <v>140200</v>
      </c>
      <c r="Q11" s="5">
        <v>1</v>
      </c>
      <c r="R11" s="16">
        <f t="shared" si="4"/>
        <v>0.16929098434407056</v>
      </c>
      <c r="S11" s="23">
        <v>188150</v>
      </c>
      <c r="U11" s="8">
        <v>0.7</v>
      </c>
      <c r="V11" s="13">
        <f t="shared" si="5"/>
        <v>0.25467372164103158</v>
      </c>
      <c r="W11" s="23">
        <v>298799</v>
      </c>
      <c r="Y11" s="5">
        <v>0.5</v>
      </c>
      <c r="Z11" s="16">
        <f t="shared" si="8"/>
        <v>0.30903386083695183</v>
      </c>
      <c r="AA11" s="23">
        <v>320690</v>
      </c>
      <c r="AC11" s="8">
        <v>0.7</v>
      </c>
      <c r="AD11" s="13">
        <f t="shared" si="6"/>
        <v>0.25348929713638652</v>
      </c>
      <c r="AE11" s="23">
        <v>316090</v>
      </c>
      <c r="AG11" s="5">
        <v>1</v>
      </c>
      <c r="AH11" s="16">
        <f t="shared" si="7"/>
        <v>0.20952919782397944</v>
      </c>
      <c r="AI11" s="23">
        <v>271461</v>
      </c>
    </row>
    <row r="12" spans="1:35" ht="15" thickBot="1" x14ac:dyDescent="0.35">
      <c r="A12" s="9">
        <v>5.6</v>
      </c>
      <c r="B12" s="14">
        <f t="shared" si="0"/>
        <v>8.9491544838843622E-4</v>
      </c>
      <c r="C12" s="21">
        <v>750</v>
      </c>
      <c r="E12" s="8">
        <v>2</v>
      </c>
      <c r="F12" s="29">
        <f t="shared" si="1"/>
        <v>1.0395121603309321E-2</v>
      </c>
      <c r="G12" s="31">
        <v>9328</v>
      </c>
      <c r="I12" s="5">
        <v>1.4</v>
      </c>
      <c r="J12" s="33">
        <f t="shared" si="2"/>
        <v>4.8434500622239023E-2</v>
      </c>
      <c r="K12" s="20">
        <v>43045</v>
      </c>
      <c r="M12" s="5">
        <v>1.3</v>
      </c>
      <c r="N12" s="16">
        <f t="shared" si="3"/>
        <v>6.0644332225646795E-2</v>
      </c>
      <c r="O12" s="23">
        <v>60406</v>
      </c>
      <c r="Q12" s="5">
        <v>1.1000000000000001</v>
      </c>
      <c r="R12" s="16">
        <f t="shared" si="4"/>
        <v>0.11368544178513587</v>
      </c>
      <c r="S12" s="23">
        <v>126350</v>
      </c>
      <c r="U12" s="8">
        <v>0.9</v>
      </c>
      <c r="V12" s="13">
        <f t="shared" si="5"/>
        <v>0.13553579677855415</v>
      </c>
      <c r="W12" s="23">
        <v>159019</v>
      </c>
      <c r="Y12" s="5">
        <v>1</v>
      </c>
      <c r="Z12" s="16">
        <f t="shared" si="8"/>
        <v>0.14844591690613443</v>
      </c>
      <c r="AA12" s="23">
        <v>154045</v>
      </c>
      <c r="AC12" s="8">
        <v>0.7</v>
      </c>
      <c r="AD12" s="13">
        <f t="shared" si="6"/>
        <v>0.25348929713638652</v>
      </c>
      <c r="AE12" s="23">
        <v>316090</v>
      </c>
      <c r="AG12" s="5">
        <v>0.5</v>
      </c>
      <c r="AH12" s="16">
        <f t="shared" si="7"/>
        <v>0.26828993436124166</v>
      </c>
      <c r="AI12" s="23">
        <v>347590</v>
      </c>
    </row>
    <row r="13" spans="1:35" ht="15" thickBot="1" x14ac:dyDescent="0.35">
      <c r="E13" s="9">
        <v>5.6</v>
      </c>
      <c r="F13" s="30">
        <f t="shared" si="1"/>
        <v>4.6804792810783822E-4</v>
      </c>
      <c r="G13" s="32">
        <v>420</v>
      </c>
      <c r="I13" s="5">
        <v>3</v>
      </c>
      <c r="J13" s="33">
        <f t="shared" si="2"/>
        <v>5.8690755080868569E-3</v>
      </c>
      <c r="K13" s="20">
        <v>5216</v>
      </c>
      <c r="M13" s="5">
        <v>1.9</v>
      </c>
      <c r="N13" s="16">
        <f t="shared" si="3"/>
        <v>2.4295481241278224E-2</v>
      </c>
      <c r="O13" s="23">
        <v>24200</v>
      </c>
      <c r="Q13" s="5">
        <v>1.4</v>
      </c>
      <c r="R13" s="16">
        <f t="shared" si="4"/>
        <v>4.5268130286125606E-2</v>
      </c>
      <c r="S13" s="23">
        <v>50311</v>
      </c>
      <c r="U13" s="8">
        <v>1.2</v>
      </c>
      <c r="V13" s="13">
        <f t="shared" si="5"/>
        <v>7.43908862641081E-2</v>
      </c>
      <c r="W13" s="23">
        <v>87280</v>
      </c>
      <c r="Y13" s="5">
        <v>1.1000000000000001</v>
      </c>
      <c r="Z13" s="16">
        <f t="shared" si="8"/>
        <v>0.11582337398021428</v>
      </c>
      <c r="AA13" s="23">
        <v>120192</v>
      </c>
      <c r="AC13" s="8">
        <v>1</v>
      </c>
      <c r="AD13" s="13">
        <f t="shared" si="6"/>
        <v>0.12489694905032736</v>
      </c>
      <c r="AE13" s="23">
        <v>155741</v>
      </c>
      <c r="AG13" s="5">
        <v>1</v>
      </c>
      <c r="AH13" s="16">
        <f t="shared" si="7"/>
        <v>0.20952919782397944</v>
      </c>
      <c r="AI13" s="23">
        <v>271461</v>
      </c>
    </row>
    <row r="14" spans="1:35" ht="15" thickBot="1" x14ac:dyDescent="0.35">
      <c r="A14" t="s">
        <v>4</v>
      </c>
      <c r="B14" s="1">
        <f>SUMPRODUCT(A4:A12,C4:C12)/SUM(C4:C12)</f>
        <v>0.9299913610828715</v>
      </c>
      <c r="C14" s="1"/>
      <c r="I14" s="6">
        <v>8.9</v>
      </c>
      <c r="J14" s="34">
        <f t="shared" si="2"/>
        <v>4.1632629179297104E-4</v>
      </c>
      <c r="K14" s="19">
        <v>370</v>
      </c>
      <c r="M14" s="5">
        <v>3</v>
      </c>
      <c r="N14" s="16">
        <f t="shared" si="3"/>
        <v>2.0078910116758863E-3</v>
      </c>
      <c r="O14" s="23">
        <v>2000</v>
      </c>
      <c r="Q14" s="5">
        <v>1.6</v>
      </c>
      <c r="R14" s="16">
        <f t="shared" si="4"/>
        <v>1.2164837142342991E-2</v>
      </c>
      <c r="S14" s="23">
        <v>13520</v>
      </c>
      <c r="U14" s="8">
        <v>1.9</v>
      </c>
      <c r="V14" s="13">
        <f t="shared" si="5"/>
        <v>2.8733565051966229E-2</v>
      </c>
      <c r="W14" s="23">
        <v>33712</v>
      </c>
      <c r="Y14" s="5">
        <v>1.3</v>
      </c>
      <c r="Z14" s="16">
        <f t="shared" si="8"/>
        <v>5.8682609340880661E-2</v>
      </c>
      <c r="AA14" s="23">
        <v>60896</v>
      </c>
      <c r="AC14" s="8">
        <v>1.1000000000000001</v>
      </c>
      <c r="AD14" s="13">
        <f t="shared" si="6"/>
        <v>7.6701984673075874E-2</v>
      </c>
      <c r="AE14" s="23">
        <v>95644</v>
      </c>
      <c r="AG14" s="5">
        <v>1.1000000000000001</v>
      </c>
      <c r="AH14" s="16">
        <f t="shared" si="7"/>
        <v>7.7333942586154725E-2</v>
      </c>
      <c r="AI14" s="23">
        <v>100192</v>
      </c>
    </row>
    <row r="15" spans="1:35" ht="15" thickBot="1" x14ac:dyDescent="0.35">
      <c r="E15" t="s">
        <v>4</v>
      </c>
      <c r="F15" s="1">
        <f>SUMPRODUCT(E4:E13,G4:G13)/SUM(G4:G13)</f>
        <v>0.92996754867698461</v>
      </c>
      <c r="M15" s="6">
        <v>8.4</v>
      </c>
      <c r="N15" s="17">
        <f t="shared" si="3"/>
        <v>3.4134147198490065E-4</v>
      </c>
      <c r="O15" s="24">
        <v>340</v>
      </c>
      <c r="Q15" s="5">
        <v>3</v>
      </c>
      <c r="R15" s="16">
        <f t="shared" si="4"/>
        <v>2.3933777217923342E-3</v>
      </c>
      <c r="S15" s="23">
        <v>2660</v>
      </c>
      <c r="U15" s="8">
        <v>3</v>
      </c>
      <c r="V15" s="13">
        <f t="shared" si="5"/>
        <v>6.1546355375014274E-3</v>
      </c>
      <c r="W15" s="23">
        <v>7221</v>
      </c>
      <c r="Y15" s="5">
        <v>1.4</v>
      </c>
      <c r="Z15" s="16">
        <f t="shared" si="8"/>
        <v>1.7650267220959838E-2</v>
      </c>
      <c r="AA15" s="23">
        <v>18316</v>
      </c>
      <c r="AC15" s="8">
        <v>1.5</v>
      </c>
      <c r="AD15" s="13">
        <f t="shared" si="6"/>
        <v>3.3406150658082563E-2</v>
      </c>
      <c r="AE15" s="23">
        <v>41656</v>
      </c>
      <c r="AG15" s="5">
        <v>1.2</v>
      </c>
      <c r="AH15" s="16">
        <f t="shared" si="7"/>
        <v>4.9514656029441731E-2</v>
      </c>
      <c r="AI15" s="23">
        <v>64150</v>
      </c>
    </row>
    <row r="16" spans="1:35" ht="15" thickBot="1" x14ac:dyDescent="0.35">
      <c r="B16" s="25"/>
      <c r="I16" t="s">
        <v>4</v>
      </c>
      <c r="J16" s="1">
        <f>SUMPRODUCT(I4:I14,J4:J14)</f>
        <v>0.93000947423615388</v>
      </c>
      <c r="K16" s="1"/>
      <c r="Q16" s="6">
        <v>10</v>
      </c>
      <c r="R16" s="17">
        <f t="shared" si="4"/>
        <v>2.1594385459780457E-4</v>
      </c>
      <c r="S16" s="24">
        <v>240</v>
      </c>
      <c r="U16" s="8">
        <v>4</v>
      </c>
      <c r="V16" s="13">
        <f t="shared" si="5"/>
        <v>4.2616227236542221E-4</v>
      </c>
      <c r="W16" s="23">
        <v>500</v>
      </c>
      <c r="Y16" s="5">
        <v>1.9</v>
      </c>
      <c r="Z16" s="16">
        <f t="shared" si="8"/>
        <v>4.2400729292543828E-3</v>
      </c>
      <c r="AA16" s="23">
        <v>4400</v>
      </c>
      <c r="AC16" s="8">
        <v>2</v>
      </c>
      <c r="AD16" s="13">
        <f t="shared" si="6"/>
        <v>8.6490621962603334E-3</v>
      </c>
      <c r="AE16" s="23">
        <v>10785</v>
      </c>
      <c r="AG16" s="5">
        <v>1.4</v>
      </c>
      <c r="AH16" s="16">
        <f t="shared" si="7"/>
        <v>2.0663396049324777E-2</v>
      </c>
      <c r="AI16" s="23">
        <v>26771</v>
      </c>
    </row>
    <row r="17" spans="2:35" ht="15" thickBot="1" x14ac:dyDescent="0.35">
      <c r="F17" s="28"/>
      <c r="M17" t="s">
        <v>4</v>
      </c>
      <c r="N17" s="1">
        <f>SUMPRODUCT(M4:M15,O4:O15)/SUM(O4:O15)</f>
        <v>0.93002720692320817</v>
      </c>
      <c r="O17" s="1"/>
      <c r="U17" s="9">
        <v>8.1</v>
      </c>
      <c r="V17" s="14">
        <f t="shared" si="5"/>
        <v>8.5232454473084437E-5</v>
      </c>
      <c r="W17" s="24">
        <v>100</v>
      </c>
      <c r="Y17" s="5">
        <v>4</v>
      </c>
      <c r="Z17" s="16">
        <f t="shared" si="8"/>
        <v>5.4928217492613597E-4</v>
      </c>
      <c r="AA17" s="23">
        <v>570</v>
      </c>
      <c r="AC17" s="8">
        <v>3</v>
      </c>
      <c r="AD17" s="13">
        <f t="shared" si="6"/>
        <v>2.4491642046712155E-3</v>
      </c>
      <c r="AE17" s="23">
        <v>3054</v>
      </c>
      <c r="AG17" s="5">
        <v>1.4</v>
      </c>
      <c r="AH17" s="16">
        <f t="shared" si="7"/>
        <v>7.3866758877904502E-3</v>
      </c>
      <c r="AI17" s="23">
        <v>9570</v>
      </c>
    </row>
    <row r="18" spans="2:35" ht="15" thickBot="1" x14ac:dyDescent="0.35">
      <c r="J18" s="28"/>
      <c r="Q18" t="s">
        <v>4</v>
      </c>
      <c r="R18" s="1">
        <f>SUMPRODUCT(Q4:Q16,S4:S16)/SUM(S4:S16)</f>
        <v>0.93004840741407235</v>
      </c>
      <c r="S18" s="1"/>
      <c r="Y18" s="6">
        <v>7.1</v>
      </c>
      <c r="Z18" s="17">
        <f t="shared" si="8"/>
        <v>9.1547029154355995E-5</v>
      </c>
      <c r="AA18" s="24">
        <v>95</v>
      </c>
      <c r="AC18" s="8">
        <v>8</v>
      </c>
      <c r="AD18" s="13">
        <f t="shared" si="6"/>
        <v>3.6729443540910823E-4</v>
      </c>
      <c r="AE18" s="23">
        <v>458</v>
      </c>
      <c r="AG18" s="5">
        <v>2</v>
      </c>
      <c r="AH18" s="16">
        <f t="shared" si="7"/>
        <v>1.1848012003927212E-3</v>
      </c>
      <c r="AI18" s="23">
        <v>1535</v>
      </c>
    </row>
    <row r="19" spans="2:35" ht="15" thickBot="1" x14ac:dyDescent="0.35">
      <c r="F19" s="27"/>
      <c r="N19" s="28"/>
      <c r="U19" t="s">
        <v>4</v>
      </c>
      <c r="V19" s="1">
        <f>SUMPRODUCT(U4:U17,V4:V17)</f>
        <v>0.92995119589656883</v>
      </c>
      <c r="W19" s="1"/>
      <c r="AC19" s="9">
        <v>15</v>
      </c>
      <c r="AD19" s="14">
        <f t="shared" si="6"/>
        <v>4.0097645787020551E-5</v>
      </c>
      <c r="AE19" s="24">
        <v>50</v>
      </c>
      <c r="AG19" s="5">
        <v>9</v>
      </c>
      <c r="AH19" s="16">
        <f t="shared" si="7"/>
        <v>2.2692609310453419E-4</v>
      </c>
      <c r="AI19" s="23">
        <v>294</v>
      </c>
    </row>
    <row r="20" spans="2:35" ht="15" thickBot="1" x14ac:dyDescent="0.35">
      <c r="B20" s="26"/>
      <c r="Y20" t="s">
        <v>4</v>
      </c>
      <c r="Z20" s="1">
        <f>SUMPRODUCT(Y4:Y18,Z4:Z18)</f>
        <v>0.93002222183676098</v>
      </c>
      <c r="AA20" s="1"/>
      <c r="AG20" s="6">
        <v>16</v>
      </c>
      <c r="AH20" s="17">
        <f t="shared" si="7"/>
        <v>1.543714919078464E-5</v>
      </c>
      <c r="AI20" s="24">
        <v>20</v>
      </c>
    </row>
    <row r="21" spans="2:35" x14ac:dyDescent="0.3">
      <c r="V21" s="28"/>
      <c r="AC21" t="s">
        <v>4</v>
      </c>
      <c r="AD21" s="1">
        <f>SUMPRODUCT(AC4:AC19,AD4:AD19)</f>
        <v>0.93001260669983543</v>
      </c>
      <c r="AE21" s="1"/>
    </row>
    <row r="22" spans="2:35" x14ac:dyDescent="0.3">
      <c r="AA22" s="28"/>
      <c r="AG22" t="s">
        <v>4</v>
      </c>
      <c r="AH22" s="1">
        <f>SUMPRODUCT(AG4:AG20,AH4:AH20)</f>
        <v>0.93003127566426047</v>
      </c>
    </row>
    <row r="23" spans="2:35" x14ac:dyDescent="0.3">
      <c r="AD23" s="28"/>
      <c r="AI23" s="28"/>
    </row>
    <row r="24" spans="2:35" x14ac:dyDescent="0.3">
      <c r="AH24" s="2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CEDF-77E2-4767-A6AF-1385607C078A}">
  <dimension ref="A2:AI24"/>
  <sheetViews>
    <sheetView workbookViewId="0">
      <selection activeCell="AI13" sqref="AI13"/>
    </sheetView>
  </sheetViews>
  <sheetFormatPr defaultRowHeight="14.4" x14ac:dyDescent="0.3"/>
  <cols>
    <col min="2" max="2" width="9.6640625" bestFit="1" customWidth="1"/>
    <col min="3" max="3" width="12.21875" customWidth="1"/>
    <col min="6" max="6" width="14.109375" bestFit="1" customWidth="1"/>
    <col min="10" max="10" width="9.6640625" bestFit="1" customWidth="1"/>
    <col min="11" max="11" width="9.6640625" customWidth="1"/>
    <col min="14" max="15" width="10.33203125" customWidth="1"/>
    <col min="18" max="18" width="9.6640625" bestFit="1" customWidth="1"/>
    <col min="19" max="19" width="9.6640625" customWidth="1"/>
    <col min="22" max="23" width="9.44140625" customWidth="1"/>
    <col min="26" max="27" width="10.109375" customWidth="1"/>
    <col min="30" max="31" width="9.5546875" customWidth="1"/>
    <col min="34" max="34" width="10.109375" customWidth="1"/>
    <col min="35" max="35" width="10" bestFit="1" customWidth="1"/>
  </cols>
  <sheetData>
    <row r="2" spans="1:35" ht="15" thickBot="1" x14ac:dyDescent="0.35">
      <c r="A2" s="2" t="s">
        <v>0</v>
      </c>
      <c r="E2" s="2" t="s">
        <v>5</v>
      </c>
      <c r="I2" s="2" t="s">
        <v>6</v>
      </c>
      <c r="M2" s="2" t="s">
        <v>7</v>
      </c>
      <c r="Q2" s="2" t="s">
        <v>8</v>
      </c>
      <c r="U2" s="2" t="s">
        <v>9</v>
      </c>
      <c r="Y2" s="2" t="s">
        <v>10</v>
      </c>
      <c r="AC2" s="2" t="s">
        <v>11</v>
      </c>
      <c r="AG2" s="2" t="s">
        <v>12</v>
      </c>
    </row>
    <row r="3" spans="1:35" ht="15" thickBot="1" x14ac:dyDescent="0.35">
      <c r="A3" s="10" t="s">
        <v>1</v>
      </c>
      <c r="B3" s="11" t="s">
        <v>2</v>
      </c>
      <c r="C3" s="10" t="s">
        <v>3</v>
      </c>
      <c r="E3" s="3" t="s">
        <v>1</v>
      </c>
      <c r="F3" s="10" t="s">
        <v>2</v>
      </c>
      <c r="G3" s="10" t="s">
        <v>3</v>
      </c>
      <c r="I3" s="12" t="s">
        <v>1</v>
      </c>
      <c r="J3" s="10" t="s">
        <v>2</v>
      </c>
      <c r="K3" s="7" t="s">
        <v>3</v>
      </c>
      <c r="M3" s="10" t="s">
        <v>1</v>
      </c>
      <c r="N3" s="10" t="s">
        <v>2</v>
      </c>
      <c r="O3" s="7" t="s">
        <v>3</v>
      </c>
      <c r="Q3" s="12" t="s">
        <v>1</v>
      </c>
      <c r="R3" s="11" t="s">
        <v>2</v>
      </c>
      <c r="S3" s="7" t="s">
        <v>3</v>
      </c>
      <c r="U3" s="3" t="s">
        <v>1</v>
      </c>
      <c r="V3" s="10" t="s">
        <v>2</v>
      </c>
      <c r="W3" s="7" t="s">
        <v>3</v>
      </c>
      <c r="Y3" s="10" t="s">
        <v>1</v>
      </c>
      <c r="Z3" s="4" t="s">
        <v>2</v>
      </c>
      <c r="AA3" s="7" t="s">
        <v>3</v>
      </c>
      <c r="AC3" s="10" t="s">
        <v>1</v>
      </c>
      <c r="AD3" s="10" t="s">
        <v>2</v>
      </c>
      <c r="AE3" s="4" t="s">
        <v>3</v>
      </c>
      <c r="AG3" s="10" t="s">
        <v>1</v>
      </c>
      <c r="AH3" s="4" t="s">
        <v>2</v>
      </c>
      <c r="AI3" s="4" t="s">
        <v>3</v>
      </c>
    </row>
    <row r="4" spans="1:35" x14ac:dyDescent="0.3">
      <c r="A4" s="8">
        <v>13</v>
      </c>
      <c r="B4" s="13">
        <f>C4/SUM($C$4:$C$12)</f>
        <v>4.5299141223649015E-3</v>
      </c>
      <c r="C4" s="19">
        <v>3800</v>
      </c>
      <c r="E4" s="7">
        <v>18</v>
      </c>
      <c r="F4" s="13">
        <f>G4/SUM($G$4:$G$13)</f>
        <v>3.3251589841639304E-3</v>
      </c>
      <c r="G4" s="19">
        <v>3200</v>
      </c>
      <c r="H4" s="18"/>
      <c r="I4" s="5">
        <v>22</v>
      </c>
      <c r="J4" s="16">
        <f>K4/SUM($K$4:$K$14)</f>
        <v>9.221471875583044E-4</v>
      </c>
      <c r="K4" s="22">
        <v>860</v>
      </c>
      <c r="M4" s="5">
        <v>24</v>
      </c>
      <c r="N4" s="16">
        <f>O4/SUM($O$4:$O$15)</f>
        <v>1.2817702547564822E-3</v>
      </c>
      <c r="O4" s="22">
        <v>1380</v>
      </c>
      <c r="Q4" s="5">
        <v>33</v>
      </c>
      <c r="R4" s="15">
        <f>S4/SUM($S$4:$S$16)</f>
        <v>1.0816587171266973E-3</v>
      </c>
      <c r="S4" s="22">
        <v>1245</v>
      </c>
      <c r="U4" s="7">
        <v>43</v>
      </c>
      <c r="V4" s="13">
        <f>W4/SUM($W$4:$W$17)</f>
        <v>1.4664419425858651E-4</v>
      </c>
      <c r="W4" s="22">
        <v>150</v>
      </c>
      <c r="Y4" s="5">
        <v>58</v>
      </c>
      <c r="Z4" s="15">
        <f>AA4/SUM($AA$4:$AA$18)</f>
        <v>9.8774171377302933E-5</v>
      </c>
      <c r="AA4" s="22">
        <v>96</v>
      </c>
      <c r="AC4" s="7">
        <v>88</v>
      </c>
      <c r="AD4" s="13">
        <f>AE4/SUM($AE$4:$AE$19)</f>
        <v>4.7725008501017139E-5</v>
      </c>
      <c r="AE4" s="22">
        <v>48</v>
      </c>
      <c r="AG4" s="5">
        <v>110</v>
      </c>
      <c r="AH4" s="15">
        <f>AI4/SUM($AI$4:$AI$20)</f>
        <v>1.8676228895861346E-5</v>
      </c>
      <c r="AI4" s="22">
        <v>20</v>
      </c>
    </row>
    <row r="5" spans="1:35" x14ac:dyDescent="0.3">
      <c r="A5" s="8">
        <v>3</v>
      </c>
      <c r="B5" s="13">
        <f t="shared" ref="B5:B12" si="0">C5/SUM($C$4:$C$12)</f>
        <v>1.7732229623731027E-2</v>
      </c>
      <c r="C5" s="20">
        <v>14875</v>
      </c>
      <c r="E5" s="8">
        <v>4</v>
      </c>
      <c r="F5" s="13">
        <f t="shared" ref="F5:F13" si="1">G5/SUM($G$4:$G$13)</f>
        <v>9.5681449769317098E-3</v>
      </c>
      <c r="G5" s="31">
        <v>9208</v>
      </c>
      <c r="I5" s="5">
        <v>5</v>
      </c>
      <c r="J5" s="16">
        <f t="shared" ref="J5:J14" si="2">K5/SUM($K$4:$K$14)</f>
        <v>5.592929918958274E-3</v>
      </c>
      <c r="K5" s="23">
        <v>5216</v>
      </c>
      <c r="M5" s="5">
        <v>6</v>
      </c>
      <c r="N5" s="16">
        <f t="shared" ref="N5:N15" si="3">O5/SUM($O$4:$O$15)</f>
        <v>3.7152761007434266E-3</v>
      </c>
      <c r="O5" s="23">
        <v>4000</v>
      </c>
      <c r="Q5" s="5">
        <v>11</v>
      </c>
      <c r="R5" s="16">
        <f t="shared" ref="R5:R16" si="4">S5/SUM($S$4:$S$16)</f>
        <v>2.3110138052666786E-3</v>
      </c>
      <c r="S5" s="23">
        <v>2660</v>
      </c>
      <c r="U5" s="8">
        <v>13</v>
      </c>
      <c r="V5" s="13">
        <f t="shared" ref="V5:V17" si="5">W5/SUM($W$4:$W$17)</f>
        <v>5.8657677703434605E-4</v>
      </c>
      <c r="W5" s="23">
        <v>600</v>
      </c>
      <c r="Y5" s="5">
        <v>15</v>
      </c>
      <c r="Z5" s="16">
        <f>AA5/SUM($AA$4:$AA$18)</f>
        <v>5.8647164255273615E-4</v>
      </c>
      <c r="AA5" s="23">
        <v>570</v>
      </c>
      <c r="AC5" s="8">
        <v>18</v>
      </c>
      <c r="AD5" s="13">
        <f t="shared" ref="AD5:AD19" si="6">AE5/SUM($AE$4:$AE$19)</f>
        <v>4.5537612278053852E-4</v>
      </c>
      <c r="AE5" s="23">
        <v>458</v>
      </c>
      <c r="AG5" s="5">
        <v>41</v>
      </c>
      <c r="AH5" s="16">
        <f t="shared" ref="AH5:AH20" si="7">AI5/SUM($AI$4:$AI$20)</f>
        <v>2.7454056476916181E-4</v>
      </c>
      <c r="AI5" s="23">
        <v>294</v>
      </c>
    </row>
    <row r="6" spans="1:35" x14ac:dyDescent="0.3">
      <c r="A6" s="8">
        <v>1.3</v>
      </c>
      <c r="B6" s="13">
        <f t="shared" si="0"/>
        <v>9.761368892364472E-2</v>
      </c>
      <c r="C6" s="20">
        <v>81885</v>
      </c>
      <c r="E6" s="8">
        <v>1.7</v>
      </c>
      <c r="F6" s="13">
        <f t="shared" si="1"/>
        <v>6.7555800324202997E-2</v>
      </c>
      <c r="G6" s="31">
        <v>65013</v>
      </c>
      <c r="I6" s="5">
        <v>2</v>
      </c>
      <c r="J6" s="16">
        <f t="shared" si="2"/>
        <v>4.615561126563629E-2</v>
      </c>
      <c r="K6" s="23">
        <v>43045</v>
      </c>
      <c r="M6" s="5">
        <v>3</v>
      </c>
      <c r="N6" s="16">
        <f t="shared" si="3"/>
        <v>2.619269651024116E-2</v>
      </c>
      <c r="O6" s="23">
        <v>28200</v>
      </c>
      <c r="Q6" s="5">
        <v>4</v>
      </c>
      <c r="R6" s="16">
        <f t="shared" si="4"/>
        <v>1.1763581550116853E-2</v>
      </c>
      <c r="S6" s="23">
        <v>13540</v>
      </c>
      <c r="U6" s="8">
        <v>6</v>
      </c>
      <c r="V6" s="13">
        <f t="shared" si="5"/>
        <v>7.3820687389772452E-3</v>
      </c>
      <c r="W6" s="23">
        <v>7551</v>
      </c>
      <c r="Y6" s="5">
        <v>7</v>
      </c>
      <c r="Z6" s="16">
        <f t="shared" ref="Z6:Z18" si="8">AA6/SUM($AA$4:$AA$18)</f>
        <v>4.5271495214597177E-3</v>
      </c>
      <c r="AA6" s="23">
        <v>4400</v>
      </c>
      <c r="AC6" s="8">
        <v>11</v>
      </c>
      <c r="AD6" s="13">
        <f t="shared" si="6"/>
        <v>3.0365036658772156E-3</v>
      </c>
      <c r="AE6" s="23">
        <v>3054</v>
      </c>
      <c r="AG6" s="5">
        <v>10</v>
      </c>
      <c r="AH6" s="16">
        <f t="shared" si="7"/>
        <v>1.4334005677573585E-3</v>
      </c>
      <c r="AI6" s="23">
        <v>1535</v>
      </c>
    </row>
    <row r="7" spans="1:35" x14ac:dyDescent="0.3">
      <c r="A7" s="8">
        <v>0.7</v>
      </c>
      <c r="B7" s="13">
        <f t="shared" si="0"/>
        <v>0.24658229900294207</v>
      </c>
      <c r="C7" s="20">
        <v>206850</v>
      </c>
      <c r="E7" s="8">
        <v>0.9</v>
      </c>
      <c r="F7" s="13">
        <f t="shared" si="1"/>
        <v>0.10569121742383308</v>
      </c>
      <c r="G7" s="31">
        <v>101713</v>
      </c>
      <c r="I7" s="5">
        <v>1.4</v>
      </c>
      <c r="J7" s="16">
        <f t="shared" si="2"/>
        <v>0.11375436143451791</v>
      </c>
      <c r="K7" s="23">
        <v>106088</v>
      </c>
      <c r="M7" s="5">
        <v>1.8</v>
      </c>
      <c r="N7" s="16">
        <f t="shared" si="3"/>
        <v>5.6106242035376862E-2</v>
      </c>
      <c r="O7" s="23">
        <v>60406</v>
      </c>
      <c r="Q7" s="5">
        <v>2</v>
      </c>
      <c r="R7" s="16">
        <f t="shared" si="4"/>
        <v>4.3710306600290183E-2</v>
      </c>
      <c r="S7" s="23">
        <v>50311</v>
      </c>
      <c r="U7" s="8">
        <v>3</v>
      </c>
      <c r="V7" s="13">
        <f t="shared" si="5"/>
        <v>3.2957793845636456E-2</v>
      </c>
      <c r="W7" s="23">
        <v>33712</v>
      </c>
      <c r="Y7" s="5">
        <v>4</v>
      </c>
      <c r="Z7" s="16">
        <f t="shared" si="8"/>
        <v>1.7816391162181016E-2</v>
      </c>
      <c r="AA7" s="23">
        <v>17316</v>
      </c>
      <c r="AC7" s="8">
        <v>5</v>
      </c>
      <c r="AD7" s="13">
        <f t="shared" si="6"/>
        <v>1.0723212847572288E-2</v>
      </c>
      <c r="AE7" s="23">
        <v>10785</v>
      </c>
      <c r="AG7" s="5">
        <v>5</v>
      </c>
      <c r="AH7" s="16">
        <f t="shared" si="7"/>
        <v>8.9365755266696545E-3</v>
      </c>
      <c r="AI7" s="23">
        <v>9570</v>
      </c>
    </row>
    <row r="8" spans="1:35" x14ac:dyDescent="0.3">
      <c r="A8" s="8">
        <v>0.4</v>
      </c>
      <c r="B8" s="13">
        <f t="shared" si="0"/>
        <v>0.26708373665463458</v>
      </c>
      <c r="C8" s="20">
        <v>224048</v>
      </c>
      <c r="E8" s="8">
        <v>0.5</v>
      </c>
      <c r="F8" s="13">
        <f t="shared" si="1"/>
        <v>0.3138596782908683</v>
      </c>
      <c r="G8" s="31">
        <v>302046</v>
      </c>
      <c r="I8" s="5">
        <v>0.6</v>
      </c>
      <c r="J8" s="16">
        <f t="shared" si="2"/>
        <v>0.15877873399913789</v>
      </c>
      <c r="K8" s="23">
        <v>148078</v>
      </c>
      <c r="M8" s="5">
        <v>0.7</v>
      </c>
      <c r="N8" s="16">
        <f t="shared" si="3"/>
        <v>0.1302204273310571</v>
      </c>
      <c r="O8" s="23">
        <v>140200</v>
      </c>
      <c r="Q8" s="5">
        <v>1.1000000000000001</v>
      </c>
      <c r="R8" s="16">
        <f t="shared" si="4"/>
        <v>0.10977315575016725</v>
      </c>
      <c r="S8" s="23">
        <v>126350</v>
      </c>
      <c r="U8" s="8">
        <v>1.3</v>
      </c>
      <c r="V8" s="13">
        <f t="shared" si="5"/>
        <v>8.5327368499262868E-2</v>
      </c>
      <c r="W8" s="23">
        <v>87280</v>
      </c>
      <c r="Y8" s="5">
        <v>1.9</v>
      </c>
      <c r="Z8" s="16">
        <f t="shared" si="8"/>
        <v>6.2655749377002495E-2</v>
      </c>
      <c r="AA8" s="23">
        <v>60896</v>
      </c>
      <c r="AC8" s="8">
        <v>3</v>
      </c>
      <c r="AD8" s="13">
        <f t="shared" si="6"/>
        <v>4.1417353210799375E-2</v>
      </c>
      <c r="AE8" s="23">
        <v>41656</v>
      </c>
      <c r="AG8" s="5">
        <v>3</v>
      </c>
      <c r="AH8" s="16">
        <f t="shared" si="7"/>
        <v>2.4999066188555207E-2</v>
      </c>
      <c r="AI8" s="23">
        <v>26771</v>
      </c>
    </row>
    <row r="9" spans="1:35" x14ac:dyDescent="0.3">
      <c r="A9" s="8">
        <v>0.7</v>
      </c>
      <c r="B9" s="13">
        <f t="shared" si="0"/>
        <v>0.24658229900294207</v>
      </c>
      <c r="C9" s="20">
        <v>206850</v>
      </c>
      <c r="E9" s="8">
        <v>0.5</v>
      </c>
      <c r="F9" s="13">
        <f t="shared" si="1"/>
        <v>0.3138596782908683</v>
      </c>
      <c r="G9" s="31">
        <v>302046</v>
      </c>
      <c r="I9" s="5">
        <v>0.4</v>
      </c>
      <c r="J9" s="16">
        <f t="shared" si="2"/>
        <v>0.34959243238838267</v>
      </c>
      <c r="K9" s="23">
        <v>326032</v>
      </c>
      <c r="M9" s="5">
        <v>0.5</v>
      </c>
      <c r="N9" s="16">
        <f t="shared" si="3"/>
        <v>0.28248358776782495</v>
      </c>
      <c r="O9" s="23">
        <v>304132</v>
      </c>
      <c r="Q9" s="5">
        <v>0.6</v>
      </c>
      <c r="R9" s="16">
        <f t="shared" si="4"/>
        <v>0.16433393280683922</v>
      </c>
      <c r="S9" s="23">
        <v>189150</v>
      </c>
      <c r="U9" s="8">
        <v>0.7</v>
      </c>
      <c r="V9" s="13">
        <f t="shared" si="5"/>
        <v>0.15852726213334065</v>
      </c>
      <c r="W9" s="23">
        <v>162155</v>
      </c>
      <c r="Y9" s="5">
        <v>1</v>
      </c>
      <c r="Z9" s="16">
        <f t="shared" si="8"/>
        <v>0.12366526256438327</v>
      </c>
      <c r="AA9" s="23">
        <v>120192</v>
      </c>
      <c r="AC9" s="8">
        <v>1.3</v>
      </c>
      <c r="AD9" s="13">
        <f t="shared" si="6"/>
        <v>8.1176262376188399E-2</v>
      </c>
      <c r="AE9" s="23">
        <v>81644</v>
      </c>
      <c r="AG9" s="5">
        <v>1.5</v>
      </c>
      <c r="AH9" s="16">
        <f t="shared" si="7"/>
        <v>5.9904004183475273E-2</v>
      </c>
      <c r="AI9" s="23">
        <v>64150</v>
      </c>
    </row>
    <row r="10" spans="1:35" x14ac:dyDescent="0.3">
      <c r="A10" s="8">
        <v>1.3</v>
      </c>
      <c r="B10" s="13">
        <f t="shared" si="0"/>
        <v>9.761368892364472E-2</v>
      </c>
      <c r="C10" s="20">
        <v>81885</v>
      </c>
      <c r="E10" s="8">
        <v>0.9</v>
      </c>
      <c r="F10" s="13">
        <f t="shared" si="1"/>
        <v>0.10569121742383308</v>
      </c>
      <c r="G10" s="31">
        <v>101713</v>
      </c>
      <c r="I10" s="5">
        <v>0.6</v>
      </c>
      <c r="J10" s="16">
        <f t="shared" si="2"/>
        <v>0.15877873399913789</v>
      </c>
      <c r="K10" s="23">
        <v>148078</v>
      </c>
      <c r="M10" s="5">
        <v>0.5</v>
      </c>
      <c r="N10" s="16">
        <f t="shared" si="3"/>
        <v>0.28248358776782495</v>
      </c>
      <c r="O10" s="23">
        <v>304132</v>
      </c>
      <c r="Q10" s="5">
        <v>0.3</v>
      </c>
      <c r="R10" s="16">
        <f t="shared" si="4"/>
        <v>0.3340700775840349</v>
      </c>
      <c r="S10" s="23">
        <v>384518</v>
      </c>
      <c r="U10" s="8">
        <v>0.4</v>
      </c>
      <c r="V10" s="13">
        <f t="shared" si="5"/>
        <v>0.21507228581148988</v>
      </c>
      <c r="W10" s="23">
        <v>219994</v>
      </c>
      <c r="Y10" s="5">
        <v>0.5</v>
      </c>
      <c r="Z10" s="16">
        <f t="shared" si="8"/>
        <v>0.15561047582399265</v>
      </c>
      <c r="AA10" s="23">
        <v>151240</v>
      </c>
      <c r="AC10" s="8">
        <v>0.5</v>
      </c>
      <c r="AD10" s="13">
        <f t="shared" si="6"/>
        <v>0.13396907021740731</v>
      </c>
      <c r="AE10" s="23">
        <v>134741</v>
      </c>
      <c r="AG10" s="5">
        <v>1</v>
      </c>
      <c r="AH10" s="16">
        <f t="shared" si="7"/>
        <v>9.3560436276707001E-2</v>
      </c>
      <c r="AI10" s="23">
        <v>100192</v>
      </c>
    </row>
    <row r="11" spans="1:35" x14ac:dyDescent="0.3">
      <c r="A11" s="8">
        <v>3</v>
      </c>
      <c r="B11" s="13">
        <f t="shared" si="0"/>
        <v>1.7732229623731027E-2</v>
      </c>
      <c r="C11" s="20">
        <v>14875</v>
      </c>
      <c r="E11" s="8">
        <v>1.7</v>
      </c>
      <c r="F11" s="13">
        <f t="shared" si="1"/>
        <v>6.7555800324202997E-2</v>
      </c>
      <c r="G11" s="31">
        <v>65013</v>
      </c>
      <c r="I11" s="5">
        <v>1.4</v>
      </c>
      <c r="J11" s="16">
        <f t="shared" si="2"/>
        <v>0.11375436143451791</v>
      </c>
      <c r="K11" s="23">
        <v>106088</v>
      </c>
      <c r="M11" s="5">
        <v>0.7</v>
      </c>
      <c r="N11" s="16">
        <f t="shared" si="3"/>
        <v>0.1302204273310571</v>
      </c>
      <c r="O11" s="23">
        <v>140200</v>
      </c>
      <c r="Q11" s="5">
        <v>0.6</v>
      </c>
      <c r="R11" s="16">
        <f t="shared" si="4"/>
        <v>0.16433393280683922</v>
      </c>
      <c r="S11" s="23">
        <v>189150</v>
      </c>
      <c r="U11" s="8">
        <v>0.4</v>
      </c>
      <c r="V11" s="13">
        <f t="shared" si="5"/>
        <v>0.21507228581148988</v>
      </c>
      <c r="W11" s="23">
        <v>219994</v>
      </c>
      <c r="Y11" s="5">
        <v>0.2</v>
      </c>
      <c r="Z11" s="16">
        <f t="shared" si="8"/>
        <v>0.27007945147410162</v>
      </c>
      <c r="AA11" s="23">
        <v>262494</v>
      </c>
      <c r="AC11" s="8">
        <v>0.3</v>
      </c>
      <c r="AD11" s="13">
        <f t="shared" si="6"/>
        <v>0.22917350227986344</v>
      </c>
      <c r="AE11" s="23">
        <v>230494</v>
      </c>
      <c r="AG11" s="5">
        <v>0.5</v>
      </c>
      <c r="AH11" s="16">
        <f t="shared" si="7"/>
        <v>0.20493519348573136</v>
      </c>
      <c r="AI11" s="23">
        <v>219461</v>
      </c>
    </row>
    <row r="12" spans="1:35" ht="15" thickBot="1" x14ac:dyDescent="0.35">
      <c r="A12" s="9">
        <v>13</v>
      </c>
      <c r="B12" s="14">
        <f t="shared" si="0"/>
        <v>4.5299141223649015E-3</v>
      </c>
      <c r="C12" s="21">
        <v>3800</v>
      </c>
      <c r="E12" s="8">
        <v>4</v>
      </c>
      <c r="F12" s="13">
        <f t="shared" si="1"/>
        <v>9.5681449769317098E-3</v>
      </c>
      <c r="G12" s="31">
        <v>9208</v>
      </c>
      <c r="I12" s="5">
        <v>2</v>
      </c>
      <c r="J12" s="16">
        <f t="shared" si="2"/>
        <v>4.615561126563629E-2</v>
      </c>
      <c r="K12" s="23">
        <v>43045</v>
      </c>
      <c r="M12" s="5">
        <v>1.8</v>
      </c>
      <c r="N12" s="16">
        <f t="shared" si="3"/>
        <v>5.6106242035376862E-2</v>
      </c>
      <c r="O12" s="23">
        <v>60406</v>
      </c>
      <c r="Q12" s="5">
        <v>1.1000000000000001</v>
      </c>
      <c r="R12" s="16">
        <f t="shared" si="4"/>
        <v>0.10977315575016725</v>
      </c>
      <c r="S12" s="23">
        <v>126350</v>
      </c>
      <c r="U12" s="8">
        <v>0.7</v>
      </c>
      <c r="V12" s="13">
        <f t="shared" si="5"/>
        <v>0.15852726213334065</v>
      </c>
      <c r="W12" s="23">
        <v>162155</v>
      </c>
      <c r="Y12" s="5">
        <v>0.5</v>
      </c>
      <c r="Z12" s="16">
        <f t="shared" si="8"/>
        <v>0.15561047582399265</v>
      </c>
      <c r="AA12" s="23">
        <v>151240</v>
      </c>
      <c r="AC12" s="8">
        <v>0.3</v>
      </c>
      <c r="AD12" s="13">
        <f t="shared" si="6"/>
        <v>0.22917350227986344</v>
      </c>
      <c r="AE12" s="23">
        <v>230494</v>
      </c>
      <c r="AG12" s="5">
        <v>0.3</v>
      </c>
      <c r="AH12" s="16">
        <f t="shared" si="7"/>
        <v>0.21187621395487824</v>
      </c>
      <c r="AI12" s="23">
        <v>226894</v>
      </c>
    </row>
    <row r="13" spans="1:35" ht="15" thickBot="1" x14ac:dyDescent="0.35">
      <c r="E13" s="9">
        <v>18</v>
      </c>
      <c r="F13" s="14">
        <f t="shared" si="1"/>
        <v>3.3251589841639304E-3</v>
      </c>
      <c r="G13" s="32">
        <v>3200</v>
      </c>
      <c r="I13" s="5">
        <v>5</v>
      </c>
      <c r="J13" s="16">
        <f t="shared" si="2"/>
        <v>5.592929918958274E-3</v>
      </c>
      <c r="K13" s="23">
        <v>5216</v>
      </c>
      <c r="M13" s="5">
        <v>3</v>
      </c>
      <c r="N13" s="16">
        <f t="shared" si="3"/>
        <v>2.619269651024116E-2</v>
      </c>
      <c r="O13" s="23">
        <v>28200</v>
      </c>
      <c r="Q13" s="5">
        <v>2</v>
      </c>
      <c r="R13" s="16">
        <f t="shared" si="4"/>
        <v>4.3710306600290183E-2</v>
      </c>
      <c r="S13" s="23">
        <v>50311</v>
      </c>
      <c r="U13" s="8">
        <v>1.3</v>
      </c>
      <c r="V13" s="13">
        <f t="shared" si="5"/>
        <v>8.5327368499262868E-2</v>
      </c>
      <c r="W13" s="23">
        <v>87280</v>
      </c>
      <c r="Y13" s="5">
        <v>1</v>
      </c>
      <c r="Z13" s="16">
        <f t="shared" si="8"/>
        <v>0.12366526256438327</v>
      </c>
      <c r="AA13" s="23">
        <v>120192</v>
      </c>
      <c r="AC13" s="8">
        <v>0.5</v>
      </c>
      <c r="AD13" s="13">
        <f t="shared" si="6"/>
        <v>0.13396907021740731</v>
      </c>
      <c r="AE13" s="23">
        <v>134741</v>
      </c>
      <c r="AG13" s="5">
        <v>0.5</v>
      </c>
      <c r="AH13" s="16">
        <f t="shared" si="7"/>
        <v>0.20493519348573136</v>
      </c>
      <c r="AI13" s="23">
        <v>219461</v>
      </c>
    </row>
    <row r="14" spans="1:35" ht="15" thickBot="1" x14ac:dyDescent="0.35">
      <c r="A14" t="s">
        <v>4</v>
      </c>
      <c r="B14" s="1">
        <f>SUMPRODUCT(A4:A12,C4:C12)/SUM(C4:C12)</f>
        <v>0.93001544939132252</v>
      </c>
      <c r="C14" s="1"/>
      <c r="I14" s="6">
        <v>22</v>
      </c>
      <c r="J14" s="17">
        <f t="shared" si="2"/>
        <v>9.221471875583044E-4</v>
      </c>
      <c r="K14" s="24">
        <v>860</v>
      </c>
      <c r="M14" s="5">
        <v>6</v>
      </c>
      <c r="N14" s="16">
        <f t="shared" si="3"/>
        <v>3.7152761007434266E-3</v>
      </c>
      <c r="O14" s="23">
        <v>4000</v>
      </c>
      <c r="Q14" s="5">
        <v>4</v>
      </c>
      <c r="R14" s="16">
        <f t="shared" si="4"/>
        <v>1.1746205506468233E-2</v>
      </c>
      <c r="S14" s="23">
        <v>13520</v>
      </c>
      <c r="U14" s="8">
        <v>3</v>
      </c>
      <c r="V14" s="13">
        <f t="shared" si="5"/>
        <v>3.2957793845636456E-2</v>
      </c>
      <c r="W14" s="23">
        <v>33712</v>
      </c>
      <c r="Y14" s="5">
        <v>1.9</v>
      </c>
      <c r="Z14" s="16">
        <f t="shared" si="8"/>
        <v>6.2655749377002495E-2</v>
      </c>
      <c r="AA14" s="23">
        <v>60896</v>
      </c>
      <c r="AC14" s="8">
        <v>1.3</v>
      </c>
      <c r="AD14" s="13">
        <f t="shared" si="6"/>
        <v>8.1176262376188399E-2</v>
      </c>
      <c r="AE14" s="23">
        <v>81644</v>
      </c>
      <c r="AG14" s="5">
        <v>1</v>
      </c>
      <c r="AH14" s="16">
        <f t="shared" si="7"/>
        <v>9.3560436276707001E-2</v>
      </c>
      <c r="AI14" s="23">
        <v>100192</v>
      </c>
    </row>
    <row r="15" spans="1:35" ht="15" thickBot="1" x14ac:dyDescent="0.35">
      <c r="E15" t="s">
        <v>4</v>
      </c>
      <c r="F15" s="1">
        <f>SUMPRODUCT(E4:E13,G4:G13)/SUM(G4:G13)</f>
        <v>0.93004447400141321</v>
      </c>
      <c r="M15" s="6">
        <v>24</v>
      </c>
      <c r="N15" s="17">
        <f t="shared" si="3"/>
        <v>1.2817702547564822E-3</v>
      </c>
      <c r="O15" s="24">
        <v>1380</v>
      </c>
      <c r="Q15" s="5">
        <v>11</v>
      </c>
      <c r="R15" s="16">
        <f t="shared" si="4"/>
        <v>2.3110138052666786E-3</v>
      </c>
      <c r="S15" s="23">
        <v>2660</v>
      </c>
      <c r="U15" s="8">
        <v>6</v>
      </c>
      <c r="V15" s="13">
        <f t="shared" si="5"/>
        <v>7.3820687389772452E-3</v>
      </c>
      <c r="W15" s="23">
        <v>7551</v>
      </c>
      <c r="Y15" s="5">
        <v>4</v>
      </c>
      <c r="Z15" s="16">
        <f t="shared" si="8"/>
        <v>1.7816391162181016E-2</v>
      </c>
      <c r="AA15" s="23">
        <v>17316</v>
      </c>
      <c r="AC15" s="8">
        <v>3</v>
      </c>
      <c r="AD15" s="13">
        <f t="shared" si="6"/>
        <v>4.1417353210799375E-2</v>
      </c>
      <c r="AE15" s="23">
        <v>41656</v>
      </c>
      <c r="AG15" s="5">
        <v>1.5</v>
      </c>
      <c r="AH15" s="16">
        <f t="shared" si="7"/>
        <v>5.9904004183475273E-2</v>
      </c>
      <c r="AI15" s="23">
        <v>64150</v>
      </c>
    </row>
    <row r="16" spans="1:35" ht="15" thickBot="1" x14ac:dyDescent="0.35">
      <c r="B16" s="25"/>
      <c r="I16" t="s">
        <v>4</v>
      </c>
      <c r="J16" s="1">
        <f>SUMPRODUCT(I4:I14,J4:J14)</f>
        <v>0.93000988627566195</v>
      </c>
      <c r="K16" s="1"/>
      <c r="Q16" s="6">
        <v>33</v>
      </c>
      <c r="R16" s="17">
        <f t="shared" si="4"/>
        <v>1.0816587171266973E-3</v>
      </c>
      <c r="S16" s="24">
        <v>1245</v>
      </c>
      <c r="U16" s="8">
        <v>13</v>
      </c>
      <c r="V16" s="13">
        <f t="shared" si="5"/>
        <v>5.8657677703434605E-4</v>
      </c>
      <c r="W16" s="23">
        <v>600</v>
      </c>
      <c r="Y16" s="5">
        <v>7</v>
      </c>
      <c r="Z16" s="16">
        <f t="shared" si="8"/>
        <v>4.5271495214597177E-3</v>
      </c>
      <c r="AA16" s="23">
        <v>4400</v>
      </c>
      <c r="AC16" s="8">
        <v>5</v>
      </c>
      <c r="AD16" s="13">
        <f t="shared" si="6"/>
        <v>1.0723212847572288E-2</v>
      </c>
      <c r="AE16" s="23">
        <v>10785</v>
      </c>
      <c r="AG16" s="5">
        <v>3</v>
      </c>
      <c r="AH16" s="16">
        <f t="shared" si="7"/>
        <v>2.4999066188555207E-2</v>
      </c>
      <c r="AI16" s="23">
        <v>26771</v>
      </c>
    </row>
    <row r="17" spans="2:35" ht="15" thickBot="1" x14ac:dyDescent="0.35">
      <c r="F17" s="28"/>
      <c r="M17" t="s">
        <v>4</v>
      </c>
      <c r="N17" s="1">
        <f>SUMPRODUCT(M4:M15,O4:O15)/SUM(O4:O15)</f>
        <v>0.93003912185734094</v>
      </c>
      <c r="O17" s="1"/>
      <c r="U17" s="9">
        <v>43</v>
      </c>
      <c r="V17" s="14">
        <f t="shared" si="5"/>
        <v>1.4664419425858651E-4</v>
      </c>
      <c r="W17" s="24">
        <v>150</v>
      </c>
      <c r="Y17" s="5">
        <v>15</v>
      </c>
      <c r="Z17" s="16">
        <f t="shared" si="8"/>
        <v>5.8647164255273615E-4</v>
      </c>
      <c r="AA17" s="23">
        <v>570</v>
      </c>
      <c r="AC17" s="8">
        <v>11</v>
      </c>
      <c r="AD17" s="13">
        <f t="shared" si="6"/>
        <v>3.0365036658772156E-3</v>
      </c>
      <c r="AE17" s="23">
        <v>3054</v>
      </c>
      <c r="AG17" s="5">
        <v>5</v>
      </c>
      <c r="AH17" s="16">
        <f t="shared" si="7"/>
        <v>8.9365755266696545E-3</v>
      </c>
      <c r="AI17" s="23">
        <v>9570</v>
      </c>
    </row>
    <row r="18" spans="2:35" ht="15" thickBot="1" x14ac:dyDescent="0.35">
      <c r="J18" s="28"/>
      <c r="Q18" t="s">
        <v>4</v>
      </c>
      <c r="R18" s="1">
        <f>SUMPRODUCT(Q4:Q16,S4:S16)/SUM(S4:S16)</f>
        <v>0.93003483896751538</v>
      </c>
      <c r="S18" s="1"/>
      <c r="Y18" s="6">
        <v>58</v>
      </c>
      <c r="Z18" s="17">
        <f t="shared" si="8"/>
        <v>9.8774171377302933E-5</v>
      </c>
      <c r="AA18" s="24">
        <v>96</v>
      </c>
      <c r="AC18" s="8">
        <v>18</v>
      </c>
      <c r="AD18" s="13">
        <f t="shared" si="6"/>
        <v>4.5537612278053852E-4</v>
      </c>
      <c r="AE18" s="23">
        <v>458</v>
      </c>
      <c r="AG18" s="5">
        <v>10</v>
      </c>
      <c r="AH18" s="16">
        <f t="shared" si="7"/>
        <v>1.4334005677573585E-3</v>
      </c>
      <c r="AI18" s="23">
        <v>1535</v>
      </c>
    </row>
    <row r="19" spans="2:35" ht="15" thickBot="1" x14ac:dyDescent="0.35">
      <c r="F19" s="27"/>
      <c r="N19" s="28"/>
      <c r="U19" t="s">
        <v>4</v>
      </c>
      <c r="V19" s="1">
        <f>SUMPRODUCT(U4:U17,V4:V17)</f>
        <v>0.93004113858462945</v>
      </c>
      <c r="W19" s="1"/>
      <c r="AC19" s="9">
        <v>88</v>
      </c>
      <c r="AD19" s="14">
        <f t="shared" si="6"/>
        <v>4.9713550521892853E-5</v>
      </c>
      <c r="AE19" s="24">
        <v>50</v>
      </c>
      <c r="AG19" s="5">
        <v>41</v>
      </c>
      <c r="AH19" s="16">
        <f t="shared" si="7"/>
        <v>2.7454056476916181E-4</v>
      </c>
      <c r="AI19" s="23">
        <v>294</v>
      </c>
    </row>
    <row r="20" spans="2:35" ht="15" thickBot="1" x14ac:dyDescent="0.35">
      <c r="B20" s="26"/>
      <c r="Y20" t="s">
        <v>4</v>
      </c>
      <c r="Z20" s="1">
        <f>SUMPRODUCT(Y4:Y18,Z4:Z18)</f>
        <v>0.93001191463442245</v>
      </c>
      <c r="AA20" s="1"/>
      <c r="AG20" s="6">
        <v>110</v>
      </c>
      <c r="AH20" s="17">
        <f t="shared" si="7"/>
        <v>1.8676228895861346E-5</v>
      </c>
      <c r="AI20" s="24">
        <v>20</v>
      </c>
    </row>
    <row r="21" spans="2:35" x14ac:dyDescent="0.3">
      <c r="V21" s="28"/>
      <c r="AC21" t="s">
        <v>4</v>
      </c>
      <c r="AD21" s="1">
        <f>SUMPRODUCT(AC4:AC19,AD4:AD19)</f>
        <v>0.93003891576734854</v>
      </c>
      <c r="AE21" s="1"/>
    </row>
    <row r="22" spans="2:35" x14ac:dyDescent="0.3">
      <c r="AG22" t="s">
        <v>4</v>
      </c>
      <c r="AH22" s="1">
        <f>SUMPRODUCT(AG4:AG20,AH4:AH20)</f>
        <v>0.9299802031973704</v>
      </c>
    </row>
    <row r="23" spans="2:35" x14ac:dyDescent="0.3">
      <c r="AD23" s="28"/>
    </row>
    <row r="24" spans="2:35" x14ac:dyDescent="0.3">
      <c r="AH24" s="2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EF018-F412-4395-993F-646D1CD0CF5F}">
  <dimension ref="A2:AI24"/>
  <sheetViews>
    <sheetView workbookViewId="0">
      <selection activeCell="AI12" sqref="AI12"/>
    </sheetView>
  </sheetViews>
  <sheetFormatPr defaultRowHeight="14.4" x14ac:dyDescent="0.3"/>
  <cols>
    <col min="2" max="2" width="9.6640625" bestFit="1" customWidth="1"/>
    <col min="3" max="3" width="12.21875" customWidth="1"/>
    <col min="6" max="6" width="11" customWidth="1"/>
    <col min="10" max="10" width="9.6640625" bestFit="1" customWidth="1"/>
    <col min="11" max="11" width="9.6640625" customWidth="1"/>
    <col min="14" max="15" width="10.33203125" customWidth="1"/>
    <col min="18" max="18" width="9.6640625" bestFit="1" customWidth="1"/>
    <col min="19" max="19" width="9.6640625" customWidth="1"/>
    <col min="22" max="23" width="9.44140625" customWidth="1"/>
    <col min="26" max="27" width="10.109375" customWidth="1"/>
    <col min="30" max="31" width="9.5546875" customWidth="1"/>
    <col min="34" max="34" width="10.109375" customWidth="1"/>
    <col min="35" max="35" width="10" bestFit="1" customWidth="1"/>
  </cols>
  <sheetData>
    <row r="2" spans="1:35" ht="15" thickBot="1" x14ac:dyDescent="0.35">
      <c r="A2" s="2" t="s">
        <v>0</v>
      </c>
      <c r="E2" s="2" t="s">
        <v>5</v>
      </c>
      <c r="I2" s="2" t="s">
        <v>6</v>
      </c>
      <c r="M2" s="2" t="s">
        <v>7</v>
      </c>
      <c r="Q2" s="2" t="s">
        <v>8</v>
      </c>
      <c r="U2" s="2" t="s">
        <v>9</v>
      </c>
      <c r="Y2" s="2" t="s">
        <v>10</v>
      </c>
      <c r="AC2" s="2" t="s">
        <v>11</v>
      </c>
      <c r="AG2" s="2" t="s">
        <v>12</v>
      </c>
    </row>
    <row r="3" spans="1:35" ht="15" thickBot="1" x14ac:dyDescent="0.35">
      <c r="A3" s="10" t="s">
        <v>1</v>
      </c>
      <c r="B3" s="11" t="s">
        <v>2</v>
      </c>
      <c r="C3" s="10" t="s">
        <v>3</v>
      </c>
      <c r="E3" s="3" t="s">
        <v>1</v>
      </c>
      <c r="F3" s="10" t="s">
        <v>2</v>
      </c>
      <c r="G3" s="10" t="s">
        <v>3</v>
      </c>
      <c r="I3" s="12" t="s">
        <v>1</v>
      </c>
      <c r="J3" s="10" t="s">
        <v>2</v>
      </c>
      <c r="K3" s="7" t="s">
        <v>3</v>
      </c>
      <c r="M3" s="10" t="s">
        <v>1</v>
      </c>
      <c r="N3" s="10" t="s">
        <v>2</v>
      </c>
      <c r="O3" s="7" t="s">
        <v>3</v>
      </c>
      <c r="Q3" s="12" t="s">
        <v>1</v>
      </c>
      <c r="R3" s="11" t="s">
        <v>2</v>
      </c>
      <c r="S3" s="7" t="s">
        <v>3</v>
      </c>
      <c r="U3" s="3" t="s">
        <v>1</v>
      </c>
      <c r="V3" s="10" t="s">
        <v>2</v>
      </c>
      <c r="W3" s="7" t="s">
        <v>3</v>
      </c>
      <c r="Y3" s="10" t="s">
        <v>1</v>
      </c>
      <c r="Z3" s="4" t="s">
        <v>2</v>
      </c>
      <c r="AA3" s="7" t="s">
        <v>3</v>
      </c>
      <c r="AC3" s="10" t="s">
        <v>1</v>
      </c>
      <c r="AD3" s="10" t="s">
        <v>2</v>
      </c>
      <c r="AE3" s="4" t="s">
        <v>3</v>
      </c>
      <c r="AG3" s="10" t="s">
        <v>1</v>
      </c>
      <c r="AH3" s="4" t="s">
        <v>2</v>
      </c>
      <c r="AI3" s="4" t="s">
        <v>3</v>
      </c>
    </row>
    <row r="4" spans="1:35" x14ac:dyDescent="0.3">
      <c r="A4" s="8">
        <v>29</v>
      </c>
      <c r="B4" s="13">
        <f>C4/SUM($C$4:$C$12)</f>
        <v>6.2028018707573664E-3</v>
      </c>
      <c r="C4" s="19">
        <v>5817</v>
      </c>
      <c r="E4" s="7">
        <v>43</v>
      </c>
      <c r="F4" s="29">
        <f>G4/SUM($G$4:$G$13)</f>
        <v>3.6181392426751957E-3</v>
      </c>
      <c r="G4" s="19">
        <v>3801</v>
      </c>
      <c r="H4" s="18"/>
      <c r="I4" s="5">
        <v>76</v>
      </c>
      <c r="J4" s="16">
        <f>K4/SUM($K$4:$K$14)</f>
        <v>1.2909756702315354E-3</v>
      </c>
      <c r="K4" s="22">
        <v>1260</v>
      </c>
      <c r="M4" s="5">
        <v>120</v>
      </c>
      <c r="N4" s="16">
        <f>O4/SUM($O$4:$O$15)</f>
        <v>1.0497494146558563E-3</v>
      </c>
      <c r="O4" s="22">
        <v>1302</v>
      </c>
      <c r="Q4" s="5">
        <v>170</v>
      </c>
      <c r="R4" s="15">
        <f>S4/SUM($S$4:$S$16)</f>
        <v>2.2226892114706929E-4</v>
      </c>
      <c r="S4" s="22">
        <v>220</v>
      </c>
      <c r="U4" s="7">
        <v>260</v>
      </c>
      <c r="V4" s="13">
        <f>W4/SUM($W$4:$W$17)</f>
        <v>1.8462233128420128E-4</v>
      </c>
      <c r="W4" s="22">
        <v>175</v>
      </c>
      <c r="Y4" s="5">
        <v>420</v>
      </c>
      <c r="Z4" s="15">
        <f>AA4/SUM($AA$4:$AA$18)</f>
        <v>1.0038060981220461E-4</v>
      </c>
      <c r="AA4" s="22">
        <v>96</v>
      </c>
      <c r="AC4" s="7">
        <v>620</v>
      </c>
      <c r="AD4" s="13">
        <f>AE4/SUM($AE$4:$AE$19)</f>
        <v>4.8525786603000835E-5</v>
      </c>
      <c r="AE4" s="22">
        <v>50</v>
      </c>
      <c r="AG4" s="5">
        <v>1000</v>
      </c>
      <c r="AH4" s="15">
        <f>AI4/SUM($AI$4:$AI$20)</f>
        <v>2.0015484706804991E-5</v>
      </c>
      <c r="AI4" s="22">
        <v>22</v>
      </c>
    </row>
    <row r="5" spans="1:35" x14ac:dyDescent="0.3">
      <c r="A5" s="8">
        <v>4</v>
      </c>
      <c r="B5" s="13">
        <f t="shared" ref="B5:B12" si="0">C5/SUM($C$4:$C$12)</f>
        <v>1.3728910793536376E-2</v>
      </c>
      <c r="C5" s="20">
        <v>12875</v>
      </c>
      <c r="E5" s="8">
        <v>7</v>
      </c>
      <c r="F5" s="29">
        <f t="shared" ref="F5:F13" si="1">G5/SUM($G$4:$G$13)</f>
        <v>8.8002360690692411E-3</v>
      </c>
      <c r="G5" s="31">
        <v>9245</v>
      </c>
      <c r="I5" s="5">
        <v>10</v>
      </c>
      <c r="J5" s="16">
        <f t="shared" ref="J5:J14" si="2">K5/SUM($K$4:$K$14)</f>
        <v>5.3442294412124518E-3</v>
      </c>
      <c r="K5" s="23">
        <v>5216</v>
      </c>
      <c r="M5" s="5">
        <v>14</v>
      </c>
      <c r="N5" s="16">
        <f t="shared" ref="N5:N15" si="3">O5/SUM($O$4:$O$15)</f>
        <v>3.2250366041654574E-3</v>
      </c>
      <c r="O5" s="23">
        <v>4000</v>
      </c>
      <c r="Q5" s="5">
        <v>24</v>
      </c>
      <c r="R5" s="16">
        <f t="shared" ref="R5:R16" si="4">S5/SUM($S$4:$S$16)</f>
        <v>2.687433319323656E-3</v>
      </c>
      <c r="S5" s="23">
        <v>2660</v>
      </c>
      <c r="U5" s="8">
        <v>37</v>
      </c>
      <c r="V5" s="13">
        <f t="shared" ref="V5:V17" si="5">W5/SUM($W$4:$W$17)</f>
        <v>6.3299085011726158E-4</v>
      </c>
      <c r="W5" s="23">
        <v>600</v>
      </c>
      <c r="Y5" s="5">
        <v>56</v>
      </c>
      <c r="Z5" s="16">
        <f>AA5/SUM($AA$4:$AA$18)</f>
        <v>5.9600987075996488E-4</v>
      </c>
      <c r="AA5" s="23">
        <v>570</v>
      </c>
      <c r="AC5" s="8">
        <v>83</v>
      </c>
      <c r="AD5" s="13">
        <f t="shared" ref="AD5:AD19" si="6">AE5/SUM($AE$4:$AE$19)</f>
        <v>4.4643723674760768E-4</v>
      </c>
      <c r="AE5" s="23">
        <v>460</v>
      </c>
      <c r="AG5" s="5">
        <v>130</v>
      </c>
      <c r="AH5" s="16">
        <f t="shared" ref="AH5:AH20" si="7">AI5/SUM($AI$4:$AI$20)</f>
        <v>2.6747965926366671E-4</v>
      </c>
      <c r="AI5" s="23">
        <v>294</v>
      </c>
    </row>
    <row r="6" spans="1:35" x14ac:dyDescent="0.3">
      <c r="A6" s="8">
        <v>1.5</v>
      </c>
      <c r="B6" s="13">
        <f t="shared" si="0"/>
        <v>8.6249549478461335E-2</v>
      </c>
      <c r="C6" s="20">
        <v>80885</v>
      </c>
      <c r="E6" s="8">
        <v>2</v>
      </c>
      <c r="F6" s="29">
        <f t="shared" si="1"/>
        <v>6.1980505263959484E-2</v>
      </c>
      <c r="G6" s="31">
        <v>65113</v>
      </c>
      <c r="I6" s="5">
        <v>3</v>
      </c>
      <c r="J6" s="16">
        <f t="shared" si="2"/>
        <v>4.4103212480251147E-2</v>
      </c>
      <c r="K6" s="23">
        <v>43045</v>
      </c>
      <c r="M6" s="5">
        <v>5.2</v>
      </c>
      <c r="N6" s="16">
        <f t="shared" si="3"/>
        <v>2.2736508059366473E-2</v>
      </c>
      <c r="O6" s="23">
        <v>28200</v>
      </c>
      <c r="Q6" s="5">
        <v>8.1</v>
      </c>
      <c r="R6" s="16">
        <f t="shared" si="4"/>
        <v>1.3679641783324174E-2</v>
      </c>
      <c r="S6" s="23">
        <v>13540</v>
      </c>
      <c r="U6" s="8">
        <v>11</v>
      </c>
      <c r="V6" s="13">
        <f t="shared" si="5"/>
        <v>7.9598599402245646E-3</v>
      </c>
      <c r="W6" s="23">
        <v>7545</v>
      </c>
      <c r="Y6" s="5">
        <v>18</v>
      </c>
      <c r="Z6" s="16">
        <f t="shared" ref="Z6:Z18" si="8">AA6/SUM($AA$4:$AA$18)</f>
        <v>4.6007779497260447E-3</v>
      </c>
      <c r="AA6" s="23">
        <v>4400</v>
      </c>
      <c r="AC6" s="8">
        <v>27</v>
      </c>
      <c r="AD6" s="13">
        <f t="shared" si="6"/>
        <v>2.963955045711291E-3</v>
      </c>
      <c r="AE6" s="23">
        <v>3054</v>
      </c>
      <c r="AG6" s="5">
        <v>26</v>
      </c>
      <c r="AH6" s="16">
        <f t="shared" si="7"/>
        <v>1.3965349556793482E-3</v>
      </c>
      <c r="AI6" s="23">
        <v>1535</v>
      </c>
    </row>
    <row r="7" spans="1:35" x14ac:dyDescent="0.3">
      <c r="A7" s="8">
        <v>0.3</v>
      </c>
      <c r="B7" s="13">
        <f t="shared" si="0"/>
        <v>0.22056894738974753</v>
      </c>
      <c r="C7" s="20">
        <v>206850</v>
      </c>
      <c r="E7" s="8">
        <v>0.6</v>
      </c>
      <c r="F7" s="29">
        <f t="shared" si="1"/>
        <v>9.6819730805109749E-2</v>
      </c>
      <c r="G7" s="31">
        <v>101713</v>
      </c>
      <c r="I7" s="5">
        <v>0.9</v>
      </c>
      <c r="J7" s="16">
        <f t="shared" si="2"/>
        <v>0.10869605309803423</v>
      </c>
      <c r="K7" s="23">
        <v>106088</v>
      </c>
      <c r="M7" s="5">
        <v>1.4</v>
      </c>
      <c r="N7" s="16">
        <f t="shared" si="3"/>
        <v>4.8702890277804653E-2</v>
      </c>
      <c r="O7" s="23">
        <v>60406</v>
      </c>
      <c r="Q7" s="5">
        <v>2</v>
      </c>
      <c r="R7" s="16">
        <f t="shared" si="4"/>
        <v>5.0829871326500922E-2</v>
      </c>
      <c r="S7" s="23">
        <v>50311</v>
      </c>
      <c r="U7" s="8">
        <v>4</v>
      </c>
      <c r="V7" s="13">
        <f t="shared" si="5"/>
        <v>3.5565645898588537E-2</v>
      </c>
      <c r="W7" s="23">
        <v>33712</v>
      </c>
      <c r="Y7" s="5">
        <v>5</v>
      </c>
      <c r="Z7" s="16">
        <f t="shared" si="8"/>
        <v>1.8106152494876408E-2</v>
      </c>
      <c r="AA7" s="23">
        <v>17316</v>
      </c>
      <c r="AC7" s="8">
        <v>8</v>
      </c>
      <c r="AD7" s="13">
        <f t="shared" si="6"/>
        <v>1.0467012170267281E-2</v>
      </c>
      <c r="AE7" s="23">
        <v>10785</v>
      </c>
      <c r="AG7" s="5">
        <v>9</v>
      </c>
      <c r="AH7" s="16">
        <f t="shared" si="7"/>
        <v>8.7067358474601717E-3</v>
      </c>
      <c r="AI7" s="23">
        <v>9570</v>
      </c>
    </row>
    <row r="8" spans="1:35" x14ac:dyDescent="0.3">
      <c r="A8" s="8">
        <v>0.2</v>
      </c>
      <c r="B8" s="13">
        <f t="shared" si="0"/>
        <v>0.34649958093499483</v>
      </c>
      <c r="C8" s="20">
        <v>324948</v>
      </c>
      <c r="E8" s="8">
        <v>0.2</v>
      </c>
      <c r="F8" s="29">
        <f t="shared" si="1"/>
        <v>0.32930492889371182</v>
      </c>
      <c r="G8" s="31">
        <v>345948</v>
      </c>
      <c r="I8" s="5">
        <v>0.3</v>
      </c>
      <c r="J8" s="16">
        <f t="shared" si="2"/>
        <v>0.15171832960043277</v>
      </c>
      <c r="K8" s="23">
        <v>148078</v>
      </c>
      <c r="M8" s="5">
        <v>0.4</v>
      </c>
      <c r="N8" s="16">
        <f t="shared" si="3"/>
        <v>0.11303753297599928</v>
      </c>
      <c r="O8" s="23">
        <v>140200</v>
      </c>
      <c r="Q8" s="5">
        <v>0.7</v>
      </c>
      <c r="R8" s="16">
        <f t="shared" si="4"/>
        <v>0.12765308266787365</v>
      </c>
      <c r="S8" s="23">
        <v>126350</v>
      </c>
      <c r="U8" s="8">
        <v>1</v>
      </c>
      <c r="V8" s="13">
        <f t="shared" si="5"/>
        <v>9.0602090346784042E-2</v>
      </c>
      <c r="W8" s="23">
        <v>85880</v>
      </c>
      <c r="Y8" s="5">
        <v>1.9</v>
      </c>
      <c r="Z8" s="16">
        <f t="shared" si="8"/>
        <v>6.3674766824208459E-2</v>
      </c>
      <c r="AA8" s="23">
        <v>60896</v>
      </c>
      <c r="AC8" s="8">
        <v>3</v>
      </c>
      <c r="AD8" s="13">
        <f t="shared" si="6"/>
        <v>4.0427803334692057E-2</v>
      </c>
      <c r="AE8" s="23">
        <v>41656</v>
      </c>
      <c r="AG8" s="5">
        <v>4</v>
      </c>
      <c r="AH8" s="16">
        <f t="shared" si="7"/>
        <v>2.4356115503903476E-2</v>
      </c>
      <c r="AI8" s="23">
        <v>26771</v>
      </c>
    </row>
    <row r="9" spans="1:35" x14ac:dyDescent="0.3">
      <c r="A9" s="8">
        <v>0.3</v>
      </c>
      <c r="B9" s="13">
        <f t="shared" si="0"/>
        <v>0.22056894738974753</v>
      </c>
      <c r="C9" s="20">
        <v>206850</v>
      </c>
      <c r="E9" s="8">
        <v>0.2</v>
      </c>
      <c r="F9" s="29">
        <f t="shared" si="1"/>
        <v>0.32825784834466082</v>
      </c>
      <c r="G9" s="31">
        <v>344848</v>
      </c>
      <c r="I9" s="5">
        <v>0.2</v>
      </c>
      <c r="J9" s="16">
        <f t="shared" si="2"/>
        <v>0.3776943994196757</v>
      </c>
      <c r="K9" s="23">
        <v>368632</v>
      </c>
      <c r="M9" s="5">
        <v>0.2</v>
      </c>
      <c r="N9" s="16">
        <f t="shared" si="3"/>
        <v>0.32338248289118082</v>
      </c>
      <c r="O9" s="23">
        <v>401090</v>
      </c>
      <c r="Q9" s="5">
        <v>0.2</v>
      </c>
      <c r="R9" s="16">
        <f t="shared" si="4"/>
        <v>0.20322451585787721</v>
      </c>
      <c r="S9" s="23">
        <v>201150</v>
      </c>
      <c r="U9" s="8">
        <v>0.2</v>
      </c>
      <c r="V9" s="13">
        <f t="shared" si="5"/>
        <v>0.18252713157031314</v>
      </c>
      <c r="W9" s="23">
        <v>173014</v>
      </c>
      <c r="Y9" s="5">
        <v>0.3</v>
      </c>
      <c r="Z9" s="16">
        <f t="shared" si="8"/>
        <v>0.12567652348488018</v>
      </c>
      <c r="AA9" s="23">
        <v>120192</v>
      </c>
      <c r="AC9" s="8">
        <v>0.5</v>
      </c>
      <c r="AD9" s="13">
        <f t="shared" si="6"/>
        <v>7.9197965799025605E-2</v>
      </c>
      <c r="AE9" s="23">
        <v>81604</v>
      </c>
      <c r="AG9" s="5">
        <v>2</v>
      </c>
      <c r="AH9" s="16">
        <f t="shared" si="7"/>
        <v>5.8363333815524554E-2</v>
      </c>
      <c r="AI9" s="23">
        <v>64150</v>
      </c>
    </row>
    <row r="10" spans="1:35" x14ac:dyDescent="0.3">
      <c r="A10" s="8">
        <v>1.5</v>
      </c>
      <c r="B10" s="13">
        <f t="shared" si="0"/>
        <v>8.6249549478461335E-2</v>
      </c>
      <c r="C10" s="20">
        <v>80885</v>
      </c>
      <c r="E10" s="8">
        <v>0.6</v>
      </c>
      <c r="F10" s="29">
        <f t="shared" si="1"/>
        <v>9.6819730805109749E-2</v>
      </c>
      <c r="G10" s="31">
        <v>101713</v>
      </c>
      <c r="I10" s="5">
        <v>0.3</v>
      </c>
      <c r="J10" s="16">
        <f t="shared" si="2"/>
        <v>0.15171832960043277</v>
      </c>
      <c r="K10" s="23">
        <v>148078</v>
      </c>
      <c r="M10" s="5">
        <v>0.2</v>
      </c>
      <c r="N10" s="16">
        <f t="shared" si="3"/>
        <v>0.29911408244483573</v>
      </c>
      <c r="O10" s="23">
        <v>370990</v>
      </c>
      <c r="Q10" s="5">
        <v>0.2</v>
      </c>
      <c r="R10" s="16">
        <f t="shared" si="4"/>
        <v>0.20332554718567133</v>
      </c>
      <c r="S10" s="23">
        <v>201250</v>
      </c>
      <c r="U10" s="8">
        <v>0.2</v>
      </c>
      <c r="V10" s="13">
        <f t="shared" si="5"/>
        <v>0.18252713157031314</v>
      </c>
      <c r="W10" s="23">
        <v>173014</v>
      </c>
      <c r="Y10" s="5">
        <v>0.2</v>
      </c>
      <c r="Z10" s="16">
        <f t="shared" si="8"/>
        <v>0.19055585762683508</v>
      </c>
      <c r="AA10" s="23">
        <v>182240</v>
      </c>
      <c r="AC10" s="8">
        <v>0.2</v>
      </c>
      <c r="AD10" s="13">
        <f t="shared" si="6"/>
        <v>0.21258273646615811</v>
      </c>
      <c r="AE10" s="23">
        <v>219041</v>
      </c>
      <c r="AG10" s="5">
        <v>0.2</v>
      </c>
      <c r="AH10" s="16">
        <f t="shared" si="7"/>
        <v>0.162799584041836</v>
      </c>
      <c r="AI10" s="23">
        <v>178941</v>
      </c>
    </row>
    <row r="11" spans="1:35" x14ac:dyDescent="0.3">
      <c r="A11" s="8">
        <v>4</v>
      </c>
      <c r="B11" s="13">
        <f t="shared" si="0"/>
        <v>1.3728910793536376E-2</v>
      </c>
      <c r="C11" s="20">
        <v>12875</v>
      </c>
      <c r="E11" s="8">
        <v>2</v>
      </c>
      <c r="F11" s="29">
        <f t="shared" si="1"/>
        <v>6.1980505263959484E-2</v>
      </c>
      <c r="G11" s="31">
        <v>65113</v>
      </c>
      <c r="I11" s="5">
        <v>0.9</v>
      </c>
      <c r="J11" s="16">
        <f t="shared" si="2"/>
        <v>0.10869605309803423</v>
      </c>
      <c r="K11" s="23">
        <v>106088</v>
      </c>
      <c r="M11" s="5">
        <v>0.4</v>
      </c>
      <c r="N11" s="16">
        <f t="shared" si="3"/>
        <v>0.11303753297599928</v>
      </c>
      <c r="O11" s="23">
        <v>140200</v>
      </c>
      <c r="Q11" s="5">
        <v>0.2</v>
      </c>
      <c r="R11" s="16">
        <f t="shared" si="4"/>
        <v>0.20332554718567133</v>
      </c>
      <c r="S11" s="23">
        <v>201250</v>
      </c>
      <c r="U11" s="8">
        <v>0.2</v>
      </c>
      <c r="V11" s="13">
        <f t="shared" si="5"/>
        <v>0.18252713157031314</v>
      </c>
      <c r="W11" s="23">
        <v>173014</v>
      </c>
      <c r="Y11" s="5">
        <v>0.2</v>
      </c>
      <c r="Z11" s="16">
        <f t="shared" si="8"/>
        <v>0.19337906227780333</v>
      </c>
      <c r="AA11" s="23">
        <v>184940</v>
      </c>
      <c r="AC11" s="8">
        <v>0.2</v>
      </c>
      <c r="AD11" s="13">
        <f t="shared" si="6"/>
        <v>0.21161222073409811</v>
      </c>
      <c r="AE11" s="23">
        <v>218041</v>
      </c>
      <c r="AG11" s="5">
        <v>0.2</v>
      </c>
      <c r="AH11" s="16">
        <f t="shared" si="7"/>
        <v>0.162799584041836</v>
      </c>
      <c r="AI11" s="23">
        <v>178941</v>
      </c>
    </row>
    <row r="12" spans="1:35" ht="15" thickBot="1" x14ac:dyDescent="0.35">
      <c r="A12" s="9">
        <v>29</v>
      </c>
      <c r="B12" s="14">
        <f t="shared" si="0"/>
        <v>6.2028018707573664E-3</v>
      </c>
      <c r="C12" s="21">
        <v>5817</v>
      </c>
      <c r="E12" s="8">
        <v>7</v>
      </c>
      <c r="F12" s="29">
        <f t="shared" si="1"/>
        <v>8.8002360690692411E-3</v>
      </c>
      <c r="G12" s="31">
        <v>9245</v>
      </c>
      <c r="I12" s="5">
        <v>3</v>
      </c>
      <c r="J12" s="16">
        <f t="shared" si="2"/>
        <v>4.4103212480251147E-2</v>
      </c>
      <c r="K12" s="23">
        <v>43045</v>
      </c>
      <c r="M12" s="5">
        <v>1.4</v>
      </c>
      <c r="N12" s="16">
        <f t="shared" si="3"/>
        <v>4.8702890277804653E-2</v>
      </c>
      <c r="O12" s="23">
        <v>60406</v>
      </c>
      <c r="Q12" s="5">
        <v>0.7</v>
      </c>
      <c r="R12" s="16">
        <f t="shared" si="4"/>
        <v>0.12765308266787365</v>
      </c>
      <c r="S12" s="23">
        <v>126350</v>
      </c>
      <c r="U12" s="8">
        <v>0.2</v>
      </c>
      <c r="V12" s="13">
        <f t="shared" si="5"/>
        <v>0.18252713157031314</v>
      </c>
      <c r="W12" s="23">
        <v>173014</v>
      </c>
      <c r="Y12" s="5">
        <v>0.2</v>
      </c>
      <c r="Z12" s="16">
        <f t="shared" si="8"/>
        <v>0.19055585762683508</v>
      </c>
      <c r="AA12" s="23">
        <v>182240</v>
      </c>
      <c r="AC12" s="8">
        <v>0.2</v>
      </c>
      <c r="AD12" s="13">
        <f t="shared" si="6"/>
        <v>0.15435179254255713</v>
      </c>
      <c r="AE12" s="23">
        <v>159041</v>
      </c>
      <c r="AG12" s="5">
        <v>0.2</v>
      </c>
      <c r="AH12" s="16">
        <f t="shared" si="7"/>
        <v>0.16258123329957994</v>
      </c>
      <c r="AI12" s="23">
        <v>178701</v>
      </c>
    </row>
    <row r="13" spans="1:35" ht="15" thickBot="1" x14ac:dyDescent="0.35">
      <c r="E13" s="9">
        <v>43</v>
      </c>
      <c r="F13" s="30">
        <f t="shared" si="1"/>
        <v>3.6181392426751957E-3</v>
      </c>
      <c r="G13" s="32">
        <v>3801</v>
      </c>
      <c r="I13" s="5">
        <v>10</v>
      </c>
      <c r="J13" s="16">
        <f t="shared" si="2"/>
        <v>5.3442294412124518E-3</v>
      </c>
      <c r="K13" s="23">
        <v>5216</v>
      </c>
      <c r="M13" s="5">
        <v>5.2</v>
      </c>
      <c r="N13" s="16">
        <f t="shared" si="3"/>
        <v>2.2736508059366473E-2</v>
      </c>
      <c r="O13" s="23">
        <v>28200</v>
      </c>
      <c r="Q13" s="5">
        <v>2</v>
      </c>
      <c r="R13" s="16">
        <f t="shared" si="4"/>
        <v>5.0829871326500922E-2</v>
      </c>
      <c r="S13" s="23">
        <v>50311</v>
      </c>
      <c r="U13" s="8">
        <v>1</v>
      </c>
      <c r="V13" s="13">
        <f t="shared" si="5"/>
        <v>9.0602090346784042E-2</v>
      </c>
      <c r="W13" s="23">
        <v>85880</v>
      </c>
      <c r="Y13" s="5">
        <v>0.3</v>
      </c>
      <c r="Z13" s="16">
        <f t="shared" si="8"/>
        <v>0.12567652348488018</v>
      </c>
      <c r="AA13" s="23">
        <v>120192</v>
      </c>
      <c r="AC13" s="8">
        <v>0.2</v>
      </c>
      <c r="AD13" s="13">
        <f t="shared" si="6"/>
        <v>0.15435179254255713</v>
      </c>
      <c r="AE13" s="23">
        <v>159041</v>
      </c>
      <c r="AG13" s="5">
        <v>0.2</v>
      </c>
      <c r="AH13" s="16">
        <f t="shared" si="7"/>
        <v>0.162799584041836</v>
      </c>
      <c r="AI13" s="23">
        <v>178941</v>
      </c>
    </row>
    <row r="14" spans="1:35" ht="15" thickBot="1" x14ac:dyDescent="0.35">
      <c r="A14" t="s">
        <v>4</v>
      </c>
      <c r="B14" s="1">
        <f>SUMPRODUCT(A4:A12,C4:C12)/SUM(C4:C12)</f>
        <v>0.92998372790844974</v>
      </c>
      <c r="C14" s="1"/>
      <c r="I14" s="6">
        <v>76</v>
      </c>
      <c r="J14" s="17">
        <f t="shared" si="2"/>
        <v>1.2909756702315354E-3</v>
      </c>
      <c r="K14" s="24">
        <v>1260</v>
      </c>
      <c r="M14" s="5">
        <v>14</v>
      </c>
      <c r="N14" s="16">
        <f t="shared" si="3"/>
        <v>3.2250366041654574E-3</v>
      </c>
      <c r="O14" s="23">
        <v>4000</v>
      </c>
      <c r="Q14" s="5">
        <v>8.1</v>
      </c>
      <c r="R14" s="16">
        <f t="shared" si="4"/>
        <v>1.3659435517765349E-2</v>
      </c>
      <c r="S14" s="23">
        <v>13520</v>
      </c>
      <c r="U14" s="8">
        <v>4</v>
      </c>
      <c r="V14" s="13">
        <f t="shared" si="5"/>
        <v>3.5565645898588537E-2</v>
      </c>
      <c r="W14" s="23">
        <v>33712</v>
      </c>
      <c r="Y14" s="5">
        <v>1.9</v>
      </c>
      <c r="Z14" s="16">
        <f t="shared" si="8"/>
        <v>6.3674766824208459E-2</v>
      </c>
      <c r="AA14" s="23">
        <v>60896</v>
      </c>
      <c r="AC14" s="8">
        <v>0.5</v>
      </c>
      <c r="AD14" s="13">
        <f t="shared" si="6"/>
        <v>7.9197965799025605E-2</v>
      </c>
      <c r="AE14" s="23">
        <v>81604</v>
      </c>
      <c r="AG14" s="5">
        <v>0.2</v>
      </c>
      <c r="AH14" s="16">
        <f t="shared" si="7"/>
        <v>0.162799584041836</v>
      </c>
      <c r="AI14" s="23">
        <v>178941</v>
      </c>
    </row>
    <row r="15" spans="1:35" ht="15" thickBot="1" x14ac:dyDescent="0.35">
      <c r="E15" t="s">
        <v>4</v>
      </c>
      <c r="F15" s="1">
        <f>SUMPRODUCT(E4:E13,G4:G13)/SUM(G4:G13)</f>
        <v>0.92998153330668043</v>
      </c>
      <c r="M15" s="6">
        <v>120</v>
      </c>
      <c r="N15" s="17">
        <f t="shared" si="3"/>
        <v>1.0497494146558563E-3</v>
      </c>
      <c r="O15" s="24">
        <v>1302</v>
      </c>
      <c r="Q15" s="5">
        <v>24</v>
      </c>
      <c r="R15" s="16">
        <f t="shared" si="4"/>
        <v>2.687433319323656E-3</v>
      </c>
      <c r="S15" s="23">
        <v>2660</v>
      </c>
      <c r="U15" s="8">
        <v>11</v>
      </c>
      <c r="V15" s="13">
        <f t="shared" si="5"/>
        <v>7.9598599402245646E-3</v>
      </c>
      <c r="W15" s="23">
        <v>7545</v>
      </c>
      <c r="Y15" s="5">
        <v>5</v>
      </c>
      <c r="Z15" s="16">
        <f t="shared" si="8"/>
        <v>1.8106152494876408E-2</v>
      </c>
      <c r="AA15" s="23">
        <v>17316</v>
      </c>
      <c r="AC15" s="8">
        <v>3</v>
      </c>
      <c r="AD15" s="13">
        <f t="shared" si="6"/>
        <v>4.0427803334692057E-2</v>
      </c>
      <c r="AE15" s="23">
        <v>41656</v>
      </c>
      <c r="AG15" s="5">
        <v>2</v>
      </c>
      <c r="AH15" s="16">
        <f t="shared" si="7"/>
        <v>5.8363333815524554E-2</v>
      </c>
      <c r="AI15" s="23">
        <v>64150</v>
      </c>
    </row>
    <row r="16" spans="1:35" ht="15" thickBot="1" x14ac:dyDescent="0.35">
      <c r="B16" s="25"/>
      <c r="I16" t="s">
        <v>4</v>
      </c>
      <c r="J16" s="1">
        <f>SUMPRODUCT(I4:I14,J4:J14)</f>
        <v>0.92995493880160573</v>
      </c>
      <c r="K16" s="1"/>
      <c r="Q16" s="6">
        <v>170</v>
      </c>
      <c r="R16" s="17">
        <f t="shared" si="4"/>
        <v>2.2226892114706929E-4</v>
      </c>
      <c r="S16" s="24">
        <v>220</v>
      </c>
      <c r="U16" s="8">
        <v>37</v>
      </c>
      <c r="V16" s="13">
        <f t="shared" si="5"/>
        <v>6.3299085011726158E-4</v>
      </c>
      <c r="W16" s="23">
        <v>600</v>
      </c>
      <c r="Y16" s="5">
        <v>18</v>
      </c>
      <c r="Z16" s="16">
        <f t="shared" si="8"/>
        <v>4.6007779497260447E-3</v>
      </c>
      <c r="AA16" s="23">
        <v>4400</v>
      </c>
      <c r="AC16" s="8">
        <v>8</v>
      </c>
      <c r="AD16" s="13">
        <f t="shared" si="6"/>
        <v>1.0467012170267281E-2</v>
      </c>
      <c r="AE16" s="23">
        <v>10785</v>
      </c>
      <c r="AG16" s="5">
        <v>4</v>
      </c>
      <c r="AH16" s="16">
        <f t="shared" si="7"/>
        <v>2.4356115503903476E-2</v>
      </c>
      <c r="AI16" s="23">
        <v>26771</v>
      </c>
    </row>
    <row r="17" spans="2:35" ht="15" thickBot="1" x14ac:dyDescent="0.35">
      <c r="F17" s="28"/>
      <c r="M17" t="s">
        <v>4</v>
      </c>
      <c r="N17" s="1">
        <f>SUMPRODUCT(M4:M15,O4:O15)/SUM(O4:O15)</f>
        <v>0.92999800047730541</v>
      </c>
      <c r="O17" s="1"/>
      <c r="U17" s="9">
        <v>260</v>
      </c>
      <c r="V17" s="14">
        <f t="shared" si="5"/>
        <v>1.8567731603439671E-4</v>
      </c>
      <c r="W17" s="35">
        <v>176</v>
      </c>
      <c r="Y17" s="5">
        <v>56</v>
      </c>
      <c r="Z17" s="16">
        <f t="shared" si="8"/>
        <v>5.9600987075996488E-4</v>
      </c>
      <c r="AA17" s="23">
        <v>570</v>
      </c>
      <c r="AC17" s="8">
        <v>27</v>
      </c>
      <c r="AD17" s="13">
        <f t="shared" si="6"/>
        <v>2.963955045711291E-3</v>
      </c>
      <c r="AE17" s="23">
        <v>3054</v>
      </c>
      <c r="AG17" s="5">
        <v>9</v>
      </c>
      <c r="AH17" s="16">
        <f t="shared" si="7"/>
        <v>8.7067358474601717E-3</v>
      </c>
      <c r="AI17" s="23">
        <v>9570</v>
      </c>
    </row>
    <row r="18" spans="2:35" ht="15" thickBot="1" x14ac:dyDescent="0.35">
      <c r="J18" s="28"/>
      <c r="Q18" t="s">
        <v>4</v>
      </c>
      <c r="R18" s="1">
        <f>SUMPRODUCT(Q4:Q16,S4:S16)/SUM(S4:S16)</f>
        <v>0.93002368174323491</v>
      </c>
      <c r="S18" s="1"/>
      <c r="Y18" s="6">
        <v>420</v>
      </c>
      <c r="Z18" s="17">
        <f t="shared" si="8"/>
        <v>1.0038060981220461E-4</v>
      </c>
      <c r="AA18" s="24">
        <v>96</v>
      </c>
      <c r="AC18" s="8">
        <v>83</v>
      </c>
      <c r="AD18" s="13">
        <f t="shared" si="6"/>
        <v>4.4449620528348764E-4</v>
      </c>
      <c r="AE18" s="23">
        <v>458</v>
      </c>
      <c r="AG18" s="5">
        <v>26</v>
      </c>
      <c r="AH18" s="16">
        <f t="shared" si="7"/>
        <v>1.3965349556793482E-3</v>
      </c>
      <c r="AI18" s="23">
        <v>1535</v>
      </c>
    </row>
    <row r="19" spans="2:35" ht="15" thickBot="1" x14ac:dyDescent="0.35">
      <c r="F19" s="27"/>
      <c r="N19" s="28"/>
      <c r="U19" t="s">
        <v>4</v>
      </c>
      <c r="V19" s="1">
        <f>SUMPRODUCT(U4:U17,V4:V17)</f>
        <v>0.92998720303498006</v>
      </c>
      <c r="W19" s="1"/>
      <c r="AC19" s="9">
        <v>620</v>
      </c>
      <c r="AD19" s="14">
        <f t="shared" si="6"/>
        <v>4.8525786603000835E-5</v>
      </c>
      <c r="AE19" s="24">
        <v>50</v>
      </c>
      <c r="AG19" s="5">
        <v>130</v>
      </c>
      <c r="AH19" s="16">
        <f t="shared" si="7"/>
        <v>2.6747965926366671E-4</v>
      </c>
      <c r="AI19" s="23">
        <v>294</v>
      </c>
    </row>
    <row r="20" spans="2:35" ht="15" thickBot="1" x14ac:dyDescent="0.35">
      <c r="B20" s="26"/>
      <c r="Y20" t="s">
        <v>4</v>
      </c>
      <c r="Z20" s="1">
        <f>SUMPRODUCT(Y4:Y18,Z4:Z18)</f>
        <v>0.9300305324354845</v>
      </c>
      <c r="AA20" s="1"/>
      <c r="AG20" s="6">
        <v>1000</v>
      </c>
      <c r="AH20" s="17">
        <f t="shared" si="7"/>
        <v>2.0015484706804991E-5</v>
      </c>
      <c r="AI20" s="24">
        <v>22</v>
      </c>
    </row>
    <row r="21" spans="2:35" x14ac:dyDescent="0.3">
      <c r="V21" s="28"/>
      <c r="AC21" t="s">
        <v>4</v>
      </c>
      <c r="AD21" s="1">
        <f>SUMPRODUCT(AC4:AC19,AD4:AD19)</f>
        <v>0.92998971253324014</v>
      </c>
      <c r="AE21" s="1"/>
    </row>
    <row r="22" spans="2:35" x14ac:dyDescent="0.3">
      <c r="AG22" t="s">
        <v>4</v>
      </c>
      <c r="AH22" s="1">
        <f>SUMPRODUCT(AG4:AG20,AH4:AH20)</f>
        <v>0.92997491695848344</v>
      </c>
    </row>
    <row r="23" spans="2:35" x14ac:dyDescent="0.3">
      <c r="AD23" s="28"/>
    </row>
    <row r="24" spans="2:35" x14ac:dyDescent="0.3">
      <c r="AH24" s="2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Low</vt:lpstr>
      <vt:lpstr>Medium</vt:lpstr>
      <vt:lpstr>High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C Rim93</dc:creator>
  <cp:lastModifiedBy>Rimziiii</cp:lastModifiedBy>
  <dcterms:created xsi:type="dcterms:W3CDTF">2023-05-23T07:30:42Z</dcterms:created>
  <dcterms:modified xsi:type="dcterms:W3CDTF">2023-09-06T08:20:59Z</dcterms:modified>
</cp:coreProperties>
</file>