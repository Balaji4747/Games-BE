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4EA6AF2F-0ECA-4D29-B003-1C3666F70B9F}" xr6:coauthVersionLast="47" xr6:coauthVersionMax="47" xr10:uidLastSave="{00000000-0000-0000-0000-000000000000}"/>
  <bookViews>
    <workbookView xWindow="-108" yWindow="-108" windowWidth="23256" windowHeight="12456" xr2:uid="{82D7C7F4-4F0B-4CDB-AC3E-8D90299D9F59}"/>
  </bookViews>
  <sheets>
    <sheet name="Diamond_3RTPCombin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" i="1" l="1"/>
  <c r="V10" i="1"/>
  <c r="V9" i="1"/>
  <c r="W9" i="1" s="1"/>
  <c r="V8" i="1"/>
  <c r="W8" i="1" s="1"/>
  <c r="V7" i="1"/>
  <c r="W7" i="1" s="1"/>
  <c r="W6" i="1"/>
  <c r="V6" i="1"/>
  <c r="V11" i="1" s="1"/>
  <c r="W5" i="1"/>
  <c r="P10" i="1"/>
  <c r="Q10" i="1" s="1"/>
  <c r="P9" i="1"/>
  <c r="Q9" i="1" s="1"/>
  <c r="P8" i="1"/>
  <c r="P7" i="1"/>
  <c r="Q7" i="1" s="1"/>
  <c r="P6" i="1"/>
  <c r="P11" i="1" s="1"/>
  <c r="Q11" i="1" s="1"/>
  <c r="Q5" i="1"/>
  <c r="J11" i="1"/>
  <c r="K11" i="1" s="1"/>
  <c r="K10" i="1"/>
  <c r="J10" i="1"/>
  <c r="K9" i="1"/>
  <c r="J9" i="1"/>
  <c r="J8" i="1"/>
  <c r="K8" i="1" s="1"/>
  <c r="J7" i="1"/>
  <c r="K7" i="1" s="1"/>
  <c r="K6" i="1"/>
  <c r="J6" i="1"/>
  <c r="K5" i="1"/>
  <c r="D11" i="1"/>
  <c r="E11" i="1"/>
  <c r="E10" i="1"/>
  <c r="E9" i="1"/>
  <c r="E8" i="1"/>
  <c r="E7" i="1"/>
  <c r="E6" i="1"/>
  <c r="E5" i="1"/>
  <c r="D10" i="1"/>
  <c r="D9" i="1"/>
  <c r="D8" i="1"/>
  <c r="D7" i="1"/>
  <c r="D6" i="1"/>
  <c r="P21" i="1"/>
  <c r="O21" i="1"/>
  <c r="P20" i="1"/>
  <c r="P19" i="1"/>
  <c r="O20" i="1"/>
  <c r="O19" i="1"/>
  <c r="O18" i="1"/>
  <c r="P18" i="1" s="1"/>
  <c r="O17" i="1"/>
  <c r="P17" i="1" s="1"/>
  <c r="O16" i="1"/>
  <c r="P16" i="1"/>
  <c r="P15" i="1"/>
  <c r="B2" i="1"/>
  <c r="J12" i="1"/>
  <c r="W11" i="1" l="1"/>
  <c r="V12" i="1"/>
  <c r="P12" i="1"/>
  <c r="Q8" i="1"/>
  <c r="Q6" i="1"/>
  <c r="D12" i="1"/>
</calcChain>
</file>

<file path=xl/sharedStrings.xml><?xml version="1.0" encoding="utf-8"?>
<sst xmlns="http://schemas.openxmlformats.org/spreadsheetml/2006/main" count="73" uniqueCount="24">
  <si>
    <t>Combinations</t>
  </si>
  <si>
    <t>Prob</t>
  </si>
  <si>
    <t>Total Comb</t>
  </si>
  <si>
    <t>Payout</t>
  </si>
  <si>
    <t>Total 7 Gems, 5 Positions</t>
  </si>
  <si>
    <t>5 OAK 1 symbol</t>
  </si>
  <si>
    <t>4 OAK one symbol</t>
  </si>
  <si>
    <t>3 OAK 1 symbol+ 2OAK another symbol</t>
  </si>
  <si>
    <t>3 OAK</t>
  </si>
  <si>
    <t>2 OAK 2 different symbols</t>
  </si>
  <si>
    <t>2 OAK</t>
  </si>
  <si>
    <t>5 different Symbols</t>
  </si>
  <si>
    <t>RTP</t>
  </si>
  <si>
    <t>Corresponding to each payout a random distribution of the symbols should be shown at the front end.</t>
  </si>
  <si>
    <t>Serial</t>
  </si>
  <si>
    <t>The Combination number can be chosen using the given weights, corresponding to the chosen combination the symbols should be shown to the players.</t>
  </si>
  <si>
    <t xml:space="preserve">For example, if combination 5 is chosen, then combination should be shown like this : </t>
  </si>
  <si>
    <t>GEM1   GEM2   GEM2   GEM1   GEM5</t>
  </si>
  <si>
    <t>Similarly, for combination number 3, the combination should be shown like:</t>
  </si>
  <si>
    <t>GEM2   GEM2   GEM2   GEM3   GEM3</t>
  </si>
  <si>
    <t>While showing an OAK combination the symbols should not be necessarily in order, they can be scattered as well.</t>
  </si>
  <si>
    <t>Note for Front end:</t>
  </si>
  <si>
    <t>Pattern</t>
  </si>
  <si>
    <t>This is ORIGINAL Stake.com RTP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</si>
</sst>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1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10" fontId="2" fillId="2" borderId="0" xfId="1" applyNumberFormat="1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10" fontId="2" fillId="0" borderId="7" xfId="1" applyNumberFormat="1" applyFont="1" applyBorder="1" applyAlignment="1">
      <alignment horizontal="center" vertical="center"/>
    </xf>
    <xf numFmtId="10" fontId="2" fillId="0" borderId="9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A647-2E3A-44B6-8AFC-7A0DF0F2A7E5}">
  <dimension ref="A1:W26"/>
  <sheetViews>
    <sheetView tabSelected="1" zoomScale="68" workbookViewId="0">
      <selection activeCell="E2" sqref="E2"/>
    </sheetView>
  </sheetViews>
  <sheetFormatPr defaultRowHeight="18" x14ac:dyDescent="0.35"/>
  <cols>
    <col min="1" max="1" width="13.5546875" style="4" customWidth="1"/>
    <col min="2" max="2" width="28.109375" style="1" customWidth="1"/>
    <col min="3" max="3" width="10.88671875" style="1" customWidth="1"/>
    <col min="4" max="4" width="16.6640625" style="1" bestFit="1" customWidth="1"/>
    <col min="5" max="5" width="13.6640625" style="1" customWidth="1"/>
    <col min="6" max="6" width="8.88671875" style="1"/>
    <col min="7" max="7" width="8.77734375" style="1" customWidth="1"/>
    <col min="8" max="8" width="31.6640625" style="1" customWidth="1"/>
    <col min="9" max="9" width="10" style="1" customWidth="1"/>
    <col min="10" max="10" width="16.6640625" style="1" bestFit="1" customWidth="1"/>
    <col min="11" max="11" width="11.88671875" style="1" customWidth="1"/>
    <col min="12" max="12" width="8.88671875" style="1"/>
    <col min="13" max="13" width="8.88671875" style="1" customWidth="1"/>
    <col min="14" max="14" width="33.21875" style="1" customWidth="1"/>
    <col min="15" max="15" width="17.109375" style="1" customWidth="1"/>
    <col min="16" max="16" width="16.6640625" style="1" bestFit="1" customWidth="1"/>
    <col min="17" max="17" width="15.5546875" style="1" customWidth="1"/>
    <col min="18" max="18" width="8.88671875" style="1"/>
    <col min="19" max="19" width="9.5546875" style="1" customWidth="1"/>
    <col min="20" max="20" width="27.21875" style="1" customWidth="1"/>
    <col min="21" max="21" width="10.33203125" style="1" customWidth="1"/>
    <col min="22" max="22" width="16.6640625" style="1" bestFit="1" customWidth="1"/>
    <col min="23" max="23" width="10.77734375" style="1" customWidth="1"/>
    <col min="24" max="16384" width="8.88671875" style="1"/>
  </cols>
  <sheetData>
    <row r="1" spans="1:23" s="6" customFormat="1" ht="28.8" customHeight="1" x14ac:dyDescent="0.3">
      <c r="A1" s="5" t="s">
        <v>4</v>
      </c>
    </row>
    <row r="2" spans="1:23" s="6" customFormat="1" ht="22.2" customHeight="1" thickBot="1" x14ac:dyDescent="0.35">
      <c r="A2" s="7" t="s">
        <v>2</v>
      </c>
      <c r="B2" s="6">
        <f>7^5</f>
        <v>16807</v>
      </c>
    </row>
    <row r="3" spans="1:23" s="6" customFormat="1" ht="22.8" customHeight="1" thickBot="1" x14ac:dyDescent="0.35">
      <c r="A3" s="7"/>
      <c r="B3" s="24" t="s">
        <v>23</v>
      </c>
      <c r="C3" s="25"/>
      <c r="D3" s="25"/>
      <c r="E3" s="26"/>
    </row>
    <row r="4" spans="1:23" s="6" customFormat="1" ht="21.6" customHeight="1" thickBot="1" x14ac:dyDescent="0.35">
      <c r="A4" s="22" t="s">
        <v>14</v>
      </c>
      <c r="B4" s="16" t="s">
        <v>22</v>
      </c>
      <c r="C4" s="23" t="s">
        <v>3</v>
      </c>
      <c r="D4" s="17" t="s">
        <v>0</v>
      </c>
      <c r="E4" s="18" t="s">
        <v>1</v>
      </c>
      <c r="G4" s="22" t="s">
        <v>14</v>
      </c>
      <c r="H4" s="16" t="s">
        <v>0</v>
      </c>
      <c r="I4" s="23" t="s">
        <v>3</v>
      </c>
      <c r="J4" s="17" t="s">
        <v>0</v>
      </c>
      <c r="K4" s="18" t="s">
        <v>1</v>
      </c>
      <c r="M4" s="22" t="s">
        <v>14</v>
      </c>
      <c r="N4" s="16" t="s">
        <v>0</v>
      </c>
      <c r="O4" s="23" t="s">
        <v>3</v>
      </c>
      <c r="P4" s="17" t="s">
        <v>0</v>
      </c>
      <c r="Q4" s="18" t="s">
        <v>1</v>
      </c>
      <c r="S4" s="22" t="s">
        <v>14</v>
      </c>
      <c r="T4" s="16" t="s">
        <v>0</v>
      </c>
      <c r="U4" s="23" t="s">
        <v>3</v>
      </c>
      <c r="V4" s="17" t="s">
        <v>0</v>
      </c>
      <c r="W4" s="18" t="s">
        <v>1</v>
      </c>
    </row>
    <row r="5" spans="1:23" s="6" customFormat="1" ht="20.399999999999999" customHeight="1" x14ac:dyDescent="0.3">
      <c r="A5" s="8">
        <v>1</v>
      </c>
      <c r="B5" s="9" t="s">
        <v>5</v>
      </c>
      <c r="C5" s="8">
        <v>50</v>
      </c>
      <c r="D5" s="8">
        <v>7</v>
      </c>
      <c r="E5" s="19">
        <f>D5/$B$2</f>
        <v>4.1649312786339027E-4</v>
      </c>
      <c r="G5" s="8">
        <v>1</v>
      </c>
      <c r="H5" s="9" t="s">
        <v>5</v>
      </c>
      <c r="I5" s="8">
        <v>25</v>
      </c>
      <c r="J5" s="8">
        <v>7</v>
      </c>
      <c r="K5" s="19">
        <f>J5/$B$2</f>
        <v>4.1649312786339027E-4</v>
      </c>
      <c r="M5" s="8">
        <v>1</v>
      </c>
      <c r="N5" s="9" t="s">
        <v>5</v>
      </c>
      <c r="O5" s="8">
        <v>35</v>
      </c>
      <c r="P5" s="8">
        <v>7</v>
      </c>
      <c r="Q5" s="19">
        <f>P5/$B$2</f>
        <v>4.1649312786339027E-4</v>
      </c>
      <c r="S5" s="8">
        <v>1</v>
      </c>
      <c r="T5" s="9" t="s">
        <v>5</v>
      </c>
      <c r="U5" s="8">
        <v>15</v>
      </c>
      <c r="V5" s="8">
        <v>7</v>
      </c>
      <c r="W5" s="19">
        <f>V5/$B$2</f>
        <v>4.1649312786339027E-4</v>
      </c>
    </row>
    <row r="6" spans="1:23" s="6" customFormat="1" ht="20.399999999999999" customHeight="1" x14ac:dyDescent="0.3">
      <c r="A6" s="2">
        <v>2</v>
      </c>
      <c r="B6" s="10" t="s">
        <v>6</v>
      </c>
      <c r="C6" s="2">
        <v>5</v>
      </c>
      <c r="D6" s="2">
        <f>7*6*5</f>
        <v>210</v>
      </c>
      <c r="E6" s="20">
        <f t="shared" ref="E6:E11" si="0">D6/$B$2</f>
        <v>1.2494793835901708E-2</v>
      </c>
      <c r="G6" s="2">
        <v>2</v>
      </c>
      <c r="H6" s="10" t="s">
        <v>6</v>
      </c>
      <c r="I6" s="2">
        <v>5</v>
      </c>
      <c r="J6" s="2">
        <f>7*6*5</f>
        <v>210</v>
      </c>
      <c r="K6" s="20">
        <f t="shared" ref="K6:K11" si="1">J6/$B$2</f>
        <v>1.2494793835901708E-2</v>
      </c>
      <c r="M6" s="2">
        <v>2</v>
      </c>
      <c r="N6" s="10" t="s">
        <v>6</v>
      </c>
      <c r="O6" s="2">
        <v>4</v>
      </c>
      <c r="P6" s="2">
        <f>7*6*5</f>
        <v>210</v>
      </c>
      <c r="Q6" s="20">
        <f t="shared" ref="Q6:Q11" si="2">P6/$B$2</f>
        <v>1.2494793835901708E-2</v>
      </c>
      <c r="S6" s="2">
        <v>2</v>
      </c>
      <c r="T6" s="10" t="s">
        <v>6</v>
      </c>
      <c r="U6" s="2">
        <v>5</v>
      </c>
      <c r="V6" s="2">
        <f>7*6*5</f>
        <v>210</v>
      </c>
      <c r="W6" s="20">
        <f t="shared" ref="W6:W11" si="3">V6/$B$2</f>
        <v>1.2494793835901708E-2</v>
      </c>
    </row>
    <row r="7" spans="1:23" s="6" customFormat="1" ht="37.200000000000003" customHeight="1" x14ac:dyDescent="0.3">
      <c r="A7" s="2">
        <v>3</v>
      </c>
      <c r="B7" s="11" t="s">
        <v>7</v>
      </c>
      <c r="C7" s="2">
        <v>4</v>
      </c>
      <c r="D7" s="2">
        <f>7*6*10</f>
        <v>420</v>
      </c>
      <c r="E7" s="20">
        <f t="shared" si="0"/>
        <v>2.4989587671803416E-2</v>
      </c>
      <c r="G7" s="2">
        <v>3</v>
      </c>
      <c r="H7" s="11" t="s">
        <v>7</v>
      </c>
      <c r="I7" s="2">
        <v>4</v>
      </c>
      <c r="J7" s="2">
        <f>7*6*10</f>
        <v>420</v>
      </c>
      <c r="K7" s="20">
        <f t="shared" si="1"/>
        <v>2.4989587671803416E-2</v>
      </c>
      <c r="M7" s="2">
        <v>3</v>
      </c>
      <c r="N7" s="11" t="s">
        <v>7</v>
      </c>
      <c r="O7" s="2">
        <v>3.5</v>
      </c>
      <c r="P7" s="2">
        <f>7*6*10</f>
        <v>420</v>
      </c>
      <c r="Q7" s="20">
        <f t="shared" si="2"/>
        <v>2.4989587671803416E-2</v>
      </c>
      <c r="S7" s="2">
        <v>3</v>
      </c>
      <c r="T7" s="11" t="s">
        <v>7</v>
      </c>
      <c r="U7" s="2">
        <v>3</v>
      </c>
      <c r="V7" s="2">
        <f>7*6*10</f>
        <v>420</v>
      </c>
      <c r="W7" s="20">
        <f t="shared" si="3"/>
        <v>2.4989587671803416E-2</v>
      </c>
    </row>
    <row r="8" spans="1:23" s="6" customFormat="1" ht="21" customHeight="1" x14ac:dyDescent="0.3">
      <c r="A8" s="2">
        <v>4</v>
      </c>
      <c r="B8" s="10" t="s">
        <v>8</v>
      </c>
      <c r="C8" s="2">
        <v>3</v>
      </c>
      <c r="D8" s="2">
        <f>7*6*5*10</f>
        <v>2100</v>
      </c>
      <c r="E8" s="20">
        <f t="shared" si="0"/>
        <v>0.12494793835901707</v>
      </c>
      <c r="G8" s="2">
        <v>4</v>
      </c>
      <c r="H8" s="10" t="s">
        <v>8</v>
      </c>
      <c r="I8" s="2">
        <v>3</v>
      </c>
      <c r="J8" s="2">
        <f>7*6*5*10</f>
        <v>2100</v>
      </c>
      <c r="K8" s="20">
        <f t="shared" si="1"/>
        <v>0.12494793835901707</v>
      </c>
      <c r="M8" s="2">
        <v>4</v>
      </c>
      <c r="N8" s="10" t="s">
        <v>8</v>
      </c>
      <c r="O8" s="2">
        <v>3</v>
      </c>
      <c r="P8" s="2">
        <f>7*6*5*10</f>
        <v>2100</v>
      </c>
      <c r="Q8" s="20">
        <f t="shared" si="2"/>
        <v>0.12494793835901707</v>
      </c>
      <c r="S8" s="2">
        <v>4</v>
      </c>
      <c r="T8" s="10" t="s">
        <v>8</v>
      </c>
      <c r="U8" s="2">
        <v>2.5</v>
      </c>
      <c r="V8" s="2">
        <f>7*6*5*10</f>
        <v>2100</v>
      </c>
      <c r="W8" s="20">
        <f t="shared" si="3"/>
        <v>0.12494793835901707</v>
      </c>
    </row>
    <row r="9" spans="1:23" s="6" customFormat="1" ht="42" customHeight="1" x14ac:dyDescent="0.3">
      <c r="A9" s="2">
        <v>5</v>
      </c>
      <c r="B9" s="11" t="s">
        <v>9</v>
      </c>
      <c r="C9" s="2">
        <v>2</v>
      </c>
      <c r="D9" s="2">
        <f>7*6*5*5*3</f>
        <v>3150</v>
      </c>
      <c r="E9" s="20">
        <f t="shared" si="0"/>
        <v>0.18742190753852561</v>
      </c>
      <c r="G9" s="2">
        <v>5</v>
      </c>
      <c r="H9" s="11" t="s">
        <v>9</v>
      </c>
      <c r="I9" s="2">
        <v>2</v>
      </c>
      <c r="J9" s="2">
        <f>7*6*5*5*3</f>
        <v>3150</v>
      </c>
      <c r="K9" s="20">
        <f t="shared" si="1"/>
        <v>0.18742190753852561</v>
      </c>
      <c r="M9" s="2">
        <v>5</v>
      </c>
      <c r="N9" s="11" t="s">
        <v>9</v>
      </c>
      <c r="O9" s="2">
        <v>2</v>
      </c>
      <c r="P9" s="2">
        <f>7*6*5*5*3</f>
        <v>3150</v>
      </c>
      <c r="Q9" s="20">
        <f t="shared" si="2"/>
        <v>0.18742190753852561</v>
      </c>
      <c r="S9" s="2">
        <v>5</v>
      </c>
      <c r="T9" s="11" t="s">
        <v>9</v>
      </c>
      <c r="U9" s="2">
        <v>2</v>
      </c>
      <c r="V9" s="2">
        <f>7*6*5*5*3</f>
        <v>3150</v>
      </c>
      <c r="W9" s="20">
        <f t="shared" si="3"/>
        <v>0.18742190753852561</v>
      </c>
    </row>
    <row r="10" spans="1:23" s="6" customFormat="1" ht="20.399999999999999" customHeight="1" x14ac:dyDescent="0.3">
      <c r="A10" s="2">
        <v>6</v>
      </c>
      <c r="B10" s="10" t="s">
        <v>10</v>
      </c>
      <c r="C10" s="2">
        <v>0.1</v>
      </c>
      <c r="D10" s="2">
        <f>7*6*5*4*10</f>
        <v>8400</v>
      </c>
      <c r="E10" s="20">
        <f t="shared" si="0"/>
        <v>0.4997917534360683</v>
      </c>
      <c r="G10" s="2">
        <v>6</v>
      </c>
      <c r="H10" s="10" t="s">
        <v>10</v>
      </c>
      <c r="I10" s="2">
        <v>0.1</v>
      </c>
      <c r="J10" s="2">
        <f>7*6*5*4*10</f>
        <v>8400</v>
      </c>
      <c r="K10" s="20">
        <f t="shared" si="1"/>
        <v>0.4997917534360683</v>
      </c>
      <c r="M10" s="2">
        <v>6</v>
      </c>
      <c r="N10" s="10" t="s">
        <v>10</v>
      </c>
      <c r="O10" s="2">
        <v>0.1</v>
      </c>
      <c r="P10" s="2">
        <f>7*6*5*4*10</f>
        <v>8400</v>
      </c>
      <c r="Q10" s="20">
        <f t="shared" si="2"/>
        <v>0.4997917534360683</v>
      </c>
      <c r="S10" s="2">
        <v>6</v>
      </c>
      <c r="T10" s="10" t="s">
        <v>10</v>
      </c>
      <c r="U10" s="2">
        <v>0.2</v>
      </c>
      <c r="V10" s="2">
        <f>7*6*5*4*10</f>
        <v>8400</v>
      </c>
      <c r="W10" s="20">
        <f t="shared" si="3"/>
        <v>0.4997917534360683</v>
      </c>
    </row>
    <row r="11" spans="1:23" s="6" customFormat="1" ht="23.4" customHeight="1" thickBot="1" x14ac:dyDescent="0.35">
      <c r="A11" s="12">
        <v>7</v>
      </c>
      <c r="B11" s="13" t="s">
        <v>11</v>
      </c>
      <c r="C11" s="12">
        <v>0</v>
      </c>
      <c r="D11" s="12">
        <f>$B2-SUM(D5:D10)</f>
        <v>2520</v>
      </c>
      <c r="E11" s="21">
        <f t="shared" si="0"/>
        <v>0.1499375260308205</v>
      </c>
      <c r="G11" s="12">
        <v>7</v>
      </c>
      <c r="H11" s="13" t="s">
        <v>11</v>
      </c>
      <c r="I11" s="12">
        <v>0</v>
      </c>
      <c r="J11" s="12">
        <f>$B2-SUM(J5:J10)</f>
        <v>2520</v>
      </c>
      <c r="K11" s="21">
        <f t="shared" si="1"/>
        <v>0.1499375260308205</v>
      </c>
      <c r="M11" s="12">
        <v>7</v>
      </c>
      <c r="N11" s="13" t="s">
        <v>11</v>
      </c>
      <c r="O11" s="12">
        <v>0</v>
      </c>
      <c r="P11" s="12">
        <f>$B2-SUM(P5:P10)</f>
        <v>2520</v>
      </c>
      <c r="Q11" s="21">
        <f t="shared" si="2"/>
        <v>0.1499375260308205</v>
      </c>
      <c r="S11" s="12">
        <v>7</v>
      </c>
      <c r="T11" s="13" t="s">
        <v>11</v>
      </c>
      <c r="U11" s="12">
        <v>0</v>
      </c>
      <c r="V11" s="12">
        <f>$B2-SUM(V5:V10)</f>
        <v>2520</v>
      </c>
      <c r="W11" s="21">
        <f t="shared" si="3"/>
        <v>0.1499375260308205</v>
      </c>
    </row>
    <row r="12" spans="1:23" s="6" customFormat="1" x14ac:dyDescent="0.3">
      <c r="A12" s="7"/>
      <c r="C12" s="14" t="s">
        <v>12</v>
      </c>
      <c r="D12" s="15">
        <f>SUMPRODUCT(C5:C11,D5:D11)/SUM(D5:D11)</f>
        <v>0.98292378175760098</v>
      </c>
      <c r="G12" s="7"/>
      <c r="I12" s="14" t="s">
        <v>12</v>
      </c>
      <c r="J12" s="15">
        <f>SUMPRODUCT(I5:I11,J5:J11)/SUM(J5:J11)</f>
        <v>0.9725114535610162</v>
      </c>
      <c r="M12" s="7"/>
      <c r="O12" s="14" t="s">
        <v>12</v>
      </c>
      <c r="P12" s="15">
        <f>SUMPRODUCT(O5:O11,P5:P11)/SUM(P5:P11)</f>
        <v>0.95168679716784677</v>
      </c>
      <c r="S12" s="7"/>
      <c r="U12" s="14" t="s">
        <v>12</v>
      </c>
      <c r="V12" s="15">
        <f>SUMPRODUCT(U5:U11,V5:V11)/SUM(V5:V11)</f>
        <v>0.93086214077467722</v>
      </c>
    </row>
    <row r="13" spans="1:23" s="6" customFormat="1" ht="18.600000000000001" thickBot="1" x14ac:dyDescent="0.35">
      <c r="A13" s="7"/>
    </row>
    <row r="14" spans="1:23" s="6" customFormat="1" ht="18.600000000000001" thickBot="1" x14ac:dyDescent="0.35">
      <c r="A14" s="7"/>
      <c r="N14" s="16" t="s">
        <v>22</v>
      </c>
      <c r="O14" s="17" t="s">
        <v>0</v>
      </c>
      <c r="P14" s="18" t="s">
        <v>1</v>
      </c>
    </row>
    <row r="15" spans="1:23" s="6" customFormat="1" x14ac:dyDescent="0.3">
      <c r="A15" s="5" t="s">
        <v>21</v>
      </c>
      <c r="N15" s="9" t="s">
        <v>5</v>
      </c>
      <c r="O15" s="8">
        <v>7</v>
      </c>
      <c r="P15" s="19">
        <f>O15/B2</f>
        <v>4.1649312786339027E-4</v>
      </c>
    </row>
    <row r="16" spans="1:23" s="6" customFormat="1" x14ac:dyDescent="0.3">
      <c r="A16" s="5" t="s">
        <v>13</v>
      </c>
      <c r="N16" s="10" t="s">
        <v>6</v>
      </c>
      <c r="O16" s="2">
        <f>7*6*5</f>
        <v>210</v>
      </c>
      <c r="P16" s="20">
        <f>O16/B2</f>
        <v>1.2494793835901708E-2</v>
      </c>
    </row>
    <row r="17" spans="1:16" s="6" customFormat="1" ht="36" x14ac:dyDescent="0.3">
      <c r="A17" s="5" t="s">
        <v>15</v>
      </c>
      <c r="N17" s="11" t="s">
        <v>7</v>
      </c>
      <c r="O17" s="2">
        <f>7*6*10</f>
        <v>420</v>
      </c>
      <c r="P17" s="20">
        <f>O17/B2</f>
        <v>2.4989587671803416E-2</v>
      </c>
    </row>
    <row r="18" spans="1:16" s="6" customFormat="1" x14ac:dyDescent="0.3">
      <c r="A18" s="5" t="s">
        <v>16</v>
      </c>
      <c r="N18" s="10" t="s">
        <v>8</v>
      </c>
      <c r="O18" s="2">
        <f>7*6*5*10</f>
        <v>2100</v>
      </c>
      <c r="P18" s="20">
        <f>O18/B2</f>
        <v>0.12494793835901707</v>
      </c>
    </row>
    <row r="19" spans="1:16" s="6" customFormat="1" ht="28.8" customHeight="1" x14ac:dyDescent="0.3">
      <c r="A19" s="5"/>
      <c r="B19" s="3" t="s">
        <v>17</v>
      </c>
      <c r="N19" s="11" t="s">
        <v>9</v>
      </c>
      <c r="O19" s="2">
        <f>7*6*5*5*3</f>
        <v>3150</v>
      </c>
      <c r="P19" s="20">
        <f>O19/B2</f>
        <v>0.18742190753852561</v>
      </c>
    </row>
    <row r="20" spans="1:16" s="6" customFormat="1" x14ac:dyDescent="0.3">
      <c r="A20" s="5" t="s">
        <v>18</v>
      </c>
      <c r="N20" s="10" t="s">
        <v>10</v>
      </c>
      <c r="O20" s="2">
        <f>7*6*5*4*10</f>
        <v>8400</v>
      </c>
      <c r="P20" s="20">
        <f>O20/B2</f>
        <v>0.4997917534360683</v>
      </c>
    </row>
    <row r="21" spans="1:16" s="6" customFormat="1" ht="29.4" customHeight="1" thickBot="1" x14ac:dyDescent="0.35">
      <c r="A21" s="5"/>
      <c r="B21" s="3" t="s">
        <v>19</v>
      </c>
      <c r="N21" s="13" t="s">
        <v>11</v>
      </c>
      <c r="O21" s="12">
        <f>B2-SUM(O15:O20)</f>
        <v>2520</v>
      </c>
      <c r="P21" s="21">
        <f>O21/B2</f>
        <v>0.1499375260308205</v>
      </c>
    </row>
    <row r="22" spans="1:16" s="6" customFormat="1" x14ac:dyDescent="0.3">
      <c r="A22" s="5" t="s">
        <v>20</v>
      </c>
    </row>
    <row r="23" spans="1:16" s="6" customFormat="1" x14ac:dyDescent="0.3">
      <c r="A23" s="7"/>
    </row>
    <row r="24" spans="1:16" s="6" customFormat="1" x14ac:dyDescent="0.3">
      <c r="A24" s="7"/>
    </row>
    <row r="25" spans="1:16" s="6" customFormat="1" x14ac:dyDescent="0.3">
      <c r="A25" s="7"/>
    </row>
    <row r="26" spans="1:16" s="6" customFormat="1" x14ac:dyDescent="0.3">
      <c r="A26" s="7"/>
    </row>
  </sheetData>
  <mergeCells count="1">
    <mergeCell ref="B3:E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Diamond_3RTPCombined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2023-06-17T09:56:48Z</dcterms:created>
  <dcterms:modified xsi:type="dcterms:W3CDTF">2024-11-19T10:33:32Z</dcterms:modified>
</cp:coreProperties>
</file>