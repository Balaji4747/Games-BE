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reeLance\Math\Fushen Chong\Crypto\"/>
    </mc:Choice>
  </mc:AlternateContent>
  <xr:revisionPtr revIDLastSave="0" documentId="13_ncr:1_{6BCFCC2E-AA1C-4C4C-9ECC-E392F4DD3F80}" xr6:coauthVersionLast="47" xr6:coauthVersionMax="47" xr10:uidLastSave="{00000000-0000-0000-0000-000000000000}"/>
  <bookViews>
    <workbookView xWindow="-108" yWindow="-108" windowWidth="23256" windowHeight="12456" xr2:uid="{B4F332A6-CCB5-4FF2-B02A-B6A73D912C9B}"/>
  </bookViews>
  <sheets>
    <sheet name="Low" sheetId="3" r:id="rId1"/>
    <sheet name="Medium" sheetId="1" r:id="rId2"/>
    <sheet name="High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3" i="2" l="1"/>
  <c r="V10" i="2"/>
  <c r="V16" i="3"/>
  <c r="R16" i="3"/>
  <c r="N14" i="3"/>
  <c r="J10" i="3"/>
  <c r="B4" i="2"/>
  <c r="B12" i="2"/>
  <c r="B11" i="2"/>
  <c r="B10" i="2"/>
  <c r="B9" i="2"/>
  <c r="B8" i="2"/>
  <c r="B7" i="2"/>
  <c r="B6" i="2"/>
  <c r="B5" i="2"/>
  <c r="B12" i="3"/>
  <c r="B11" i="3"/>
  <c r="B10" i="3"/>
  <c r="B9" i="3"/>
  <c r="B8" i="3"/>
  <c r="B7" i="3"/>
  <c r="B6" i="3"/>
  <c r="B5" i="3"/>
  <c r="B4" i="3"/>
  <c r="B12" i="1"/>
  <c r="B11" i="1"/>
  <c r="B10" i="1"/>
  <c r="B9" i="1"/>
  <c r="B8" i="1"/>
  <c r="B7" i="1"/>
  <c r="B6" i="1"/>
  <c r="B5" i="1"/>
  <c r="B4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AH16" i="3"/>
  <c r="F12" i="3"/>
  <c r="F6" i="3"/>
  <c r="F8" i="3"/>
  <c r="F7" i="3"/>
  <c r="R6" i="3"/>
  <c r="B14" i="3"/>
  <c r="AH18" i="2"/>
  <c r="R18" i="2"/>
  <c r="N17" i="2"/>
  <c r="R16" i="2"/>
  <c r="AH15" i="2"/>
  <c r="R15" i="2"/>
  <c r="N15" i="2"/>
  <c r="R14" i="2"/>
  <c r="N14" i="2"/>
  <c r="J14" i="2"/>
  <c r="R13" i="2"/>
  <c r="N13" i="2"/>
  <c r="J13" i="2"/>
  <c r="F13" i="2"/>
  <c r="AH16" i="2"/>
  <c r="AH12" i="2"/>
  <c r="AD12" i="2"/>
  <c r="R12" i="2"/>
  <c r="N12" i="2"/>
  <c r="J12" i="2"/>
  <c r="F12" i="2"/>
  <c r="AD18" i="2"/>
  <c r="R11" i="2"/>
  <c r="N11" i="2"/>
  <c r="J11" i="2"/>
  <c r="R10" i="2"/>
  <c r="N10" i="2"/>
  <c r="J10" i="2"/>
  <c r="F10" i="2"/>
  <c r="AH9" i="2"/>
  <c r="R9" i="2"/>
  <c r="N9" i="2"/>
  <c r="J9" i="2"/>
  <c r="F9" i="2"/>
  <c r="AH8" i="2"/>
  <c r="AD8" i="2"/>
  <c r="R8" i="2"/>
  <c r="N8" i="2"/>
  <c r="J8" i="2"/>
  <c r="F6" i="2"/>
  <c r="F8" i="2"/>
  <c r="R7" i="2"/>
  <c r="N7" i="2"/>
  <c r="J7" i="2"/>
  <c r="F7" i="2"/>
  <c r="AH6" i="2"/>
  <c r="R6" i="2"/>
  <c r="N6" i="2"/>
  <c r="J6" i="2"/>
  <c r="AH5" i="2"/>
  <c r="R5" i="2"/>
  <c r="N5" i="2"/>
  <c r="J5" i="2"/>
  <c r="F5" i="2"/>
  <c r="B14" i="2"/>
  <c r="AH4" i="2"/>
  <c r="R4" i="2"/>
  <c r="N4" i="2"/>
  <c r="J4" i="2"/>
  <c r="F4" i="2"/>
  <c r="AH19" i="1"/>
  <c r="AD11" i="1"/>
  <c r="Z4" i="1"/>
  <c r="V4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N17" i="1"/>
  <c r="R18" i="1"/>
  <c r="N15" i="1"/>
  <c r="N14" i="1"/>
  <c r="N13" i="1"/>
  <c r="N12" i="1"/>
  <c r="N11" i="1"/>
  <c r="N10" i="1"/>
  <c r="N9" i="1"/>
  <c r="N8" i="1"/>
  <c r="N7" i="1"/>
  <c r="N6" i="1"/>
  <c r="N5" i="1"/>
  <c r="N4" i="1"/>
  <c r="J14" i="1"/>
  <c r="J13" i="1"/>
  <c r="J12" i="1"/>
  <c r="J11" i="1"/>
  <c r="J10" i="1"/>
  <c r="J9" i="1"/>
  <c r="J8" i="1"/>
  <c r="J7" i="1"/>
  <c r="J6" i="1"/>
  <c r="J5" i="1"/>
  <c r="J4" i="1"/>
  <c r="F13" i="1"/>
  <c r="J16" i="1" l="1"/>
  <c r="Z5" i="2"/>
  <c r="Z16" i="2"/>
  <c r="Z11" i="2"/>
  <c r="Z15" i="2"/>
  <c r="Z7" i="2"/>
  <c r="Z6" i="2"/>
  <c r="Z10" i="2"/>
  <c r="Z4" i="2"/>
  <c r="Z14" i="2"/>
  <c r="Z9" i="2"/>
  <c r="V6" i="2"/>
  <c r="V11" i="2"/>
  <c r="V12" i="2"/>
  <c r="V4" i="2"/>
  <c r="V15" i="2"/>
  <c r="V9" i="2"/>
  <c r="V16" i="2"/>
  <c r="V8" i="2"/>
  <c r="V14" i="2"/>
  <c r="V7" i="2"/>
  <c r="V17" i="2"/>
  <c r="V13" i="2"/>
  <c r="V5" i="2"/>
  <c r="J16" i="2"/>
  <c r="AH15" i="3"/>
  <c r="AH18" i="3"/>
  <c r="AH8" i="3"/>
  <c r="AH12" i="3"/>
  <c r="AD18" i="3"/>
  <c r="AD8" i="3"/>
  <c r="AD12" i="3"/>
  <c r="V17" i="3"/>
  <c r="V6" i="3"/>
  <c r="V4" i="3"/>
  <c r="V9" i="3"/>
  <c r="V7" i="3"/>
  <c r="V12" i="3"/>
  <c r="V15" i="3"/>
  <c r="V11" i="3"/>
  <c r="V8" i="3"/>
  <c r="V13" i="3"/>
  <c r="V14" i="3"/>
  <c r="V10" i="3"/>
  <c r="V5" i="3"/>
  <c r="R10" i="3"/>
  <c r="R18" i="3"/>
  <c r="R5" i="3"/>
  <c r="R9" i="3"/>
  <c r="R4" i="3"/>
  <c r="R8" i="3"/>
  <c r="R12" i="3"/>
  <c r="R14" i="3"/>
  <c r="R11" i="3"/>
  <c r="R7" i="3"/>
  <c r="R15" i="3"/>
  <c r="R13" i="3"/>
  <c r="N17" i="3"/>
  <c r="N15" i="3"/>
  <c r="N12" i="3"/>
  <c r="N6" i="3"/>
  <c r="N9" i="3"/>
  <c r="N11" i="3"/>
  <c r="N8" i="3"/>
  <c r="N5" i="3"/>
  <c r="N10" i="3"/>
  <c r="N7" i="3"/>
  <c r="N13" i="3"/>
  <c r="N4" i="3"/>
  <c r="J5" i="3"/>
  <c r="J12" i="3"/>
  <c r="J14" i="3"/>
  <c r="J9" i="3"/>
  <c r="J13" i="3"/>
  <c r="J4" i="3"/>
  <c r="J8" i="3"/>
  <c r="J11" i="3"/>
  <c r="J7" i="3"/>
  <c r="J6" i="3"/>
  <c r="AD14" i="3"/>
  <c r="AH13" i="3"/>
  <c r="F9" i="3"/>
  <c r="AH9" i="3"/>
  <c r="AD10" i="3"/>
  <c r="F13" i="3"/>
  <c r="F15" i="3"/>
  <c r="AD17" i="3"/>
  <c r="AH19" i="3"/>
  <c r="AD4" i="3"/>
  <c r="AH4" i="3"/>
  <c r="AD5" i="3"/>
  <c r="AH10" i="3"/>
  <c r="AH17" i="3"/>
  <c r="AH14" i="3"/>
  <c r="AD11" i="3"/>
  <c r="AH20" i="3"/>
  <c r="AD9" i="3"/>
  <c r="AH5" i="3"/>
  <c r="F10" i="3"/>
  <c r="F5" i="3"/>
  <c r="AH6" i="3"/>
  <c r="AD7" i="3"/>
  <c r="F11" i="3"/>
  <c r="AD16" i="3"/>
  <c r="AD15" i="3"/>
  <c r="AD13" i="3"/>
  <c r="AD19" i="3"/>
  <c r="F4" i="3"/>
  <c r="AD6" i="3"/>
  <c r="AH7" i="3"/>
  <c r="AH11" i="3"/>
  <c r="AD9" i="2"/>
  <c r="AH13" i="2"/>
  <c r="AH14" i="2"/>
  <c r="Z17" i="2"/>
  <c r="AD19" i="2"/>
  <c r="F15" i="2"/>
  <c r="AD17" i="2"/>
  <c r="AH19" i="2"/>
  <c r="AD15" i="2"/>
  <c r="AD13" i="2"/>
  <c r="AD10" i="2"/>
  <c r="AD5" i="2"/>
  <c r="AH10" i="2"/>
  <c r="AH17" i="2"/>
  <c r="AD14" i="2"/>
  <c r="AD4" i="2"/>
  <c r="AD11" i="2"/>
  <c r="AH20" i="2"/>
  <c r="AD6" i="2"/>
  <c r="AD7" i="2"/>
  <c r="F11" i="2"/>
  <c r="Z12" i="2"/>
  <c r="AD16" i="2"/>
  <c r="Z18" i="2"/>
  <c r="AH7" i="2"/>
  <c r="Z8" i="2"/>
  <c r="AH11" i="2"/>
  <c r="AH14" i="1"/>
  <c r="AH7" i="1"/>
  <c r="AH16" i="1"/>
  <c r="AH17" i="1"/>
  <c r="AH10" i="1"/>
  <c r="AH18" i="1"/>
  <c r="AH4" i="1"/>
  <c r="AH12" i="1"/>
  <c r="AH20" i="1"/>
  <c r="AH5" i="1"/>
  <c r="AH13" i="1"/>
  <c r="AH6" i="1"/>
  <c r="AH15" i="1"/>
  <c r="AH8" i="1"/>
  <c r="AH9" i="1"/>
  <c r="AH11" i="1"/>
  <c r="AD4" i="1"/>
  <c r="AD12" i="1"/>
  <c r="AD5" i="1"/>
  <c r="AD14" i="1"/>
  <c r="AD15" i="1"/>
  <c r="AD8" i="1"/>
  <c r="AD16" i="1"/>
  <c r="AD9" i="1"/>
  <c r="AD17" i="1"/>
  <c r="AD13" i="1"/>
  <c r="AD6" i="1"/>
  <c r="AD7" i="1"/>
  <c r="AD10" i="1"/>
  <c r="AD18" i="1"/>
  <c r="AD19" i="1"/>
  <c r="Z12" i="1"/>
  <c r="Z15" i="1"/>
  <c r="Z5" i="1"/>
  <c r="Z18" i="1"/>
  <c r="Z7" i="1"/>
  <c r="Z11" i="1"/>
  <c r="Z13" i="1"/>
  <c r="Z6" i="1"/>
  <c r="Z14" i="1"/>
  <c r="Z8" i="1"/>
  <c r="Z16" i="1"/>
  <c r="Z9" i="1"/>
  <c r="Z17" i="1"/>
  <c r="Z10" i="1"/>
  <c r="V19" i="1"/>
  <c r="F11" i="1"/>
  <c r="F10" i="1"/>
  <c r="F9" i="1"/>
  <c r="F8" i="1"/>
  <c r="F7" i="1"/>
  <c r="F6" i="1"/>
  <c r="F4" i="1"/>
  <c r="F5" i="1"/>
  <c r="F12" i="1"/>
  <c r="F15" i="1"/>
  <c r="B14" i="1"/>
  <c r="AD21" i="1" l="1"/>
  <c r="V19" i="2"/>
  <c r="AH22" i="2"/>
  <c r="Z20" i="2"/>
  <c r="V19" i="3"/>
  <c r="J16" i="3"/>
  <c r="AH22" i="3"/>
  <c r="AD21" i="3"/>
  <c r="AD21" i="2"/>
  <c r="AH22" i="1"/>
  <c r="Z20" i="1"/>
  <c r="Z12" i="3"/>
  <c r="Z18" i="3"/>
  <c r="Z8" i="3"/>
  <c r="Z16" i="3"/>
  <c r="Z17" i="3"/>
  <c r="Z5" i="3"/>
  <c r="Z9" i="3"/>
  <c r="Z10" i="3"/>
  <c r="Z11" i="3"/>
  <c r="Z14" i="3"/>
  <c r="Z4" i="3"/>
  <c r="Z6" i="3"/>
  <c r="Z13" i="3"/>
  <c r="Z7" i="3"/>
  <c r="Z15" i="3"/>
  <c r="Z20" i="3" l="1"/>
</calcChain>
</file>

<file path=xl/sharedStrings.xml><?xml version="1.0" encoding="utf-8"?>
<sst xmlns="http://schemas.openxmlformats.org/spreadsheetml/2006/main" count="135" uniqueCount="13">
  <si>
    <t>Rows: 8</t>
  </si>
  <si>
    <t>Value</t>
  </si>
  <si>
    <t>Probability</t>
  </si>
  <si>
    <t>Weight</t>
  </si>
  <si>
    <t>RTP</t>
  </si>
  <si>
    <t>Rows : 9</t>
  </si>
  <si>
    <t>Rows: 10</t>
  </si>
  <si>
    <t>Rows: 11</t>
  </si>
  <si>
    <t>Rows: 12</t>
  </si>
  <si>
    <t>Rows: 13</t>
  </si>
  <si>
    <t>Rows: 14</t>
  </si>
  <si>
    <t>Rows: 15</t>
  </si>
  <si>
    <t>Rows: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</si>
</sst>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0" fontId="0" fillId="0" borderId="0" xfId="1" applyNumberFormat="1" applyFont="1"/>
    <xf numFmtId="0" fontId="2" fillId="2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" fontId="0" fillId="0" borderId="0" xfId="0" applyNumberFormat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8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E6BA-D915-47B1-AD8C-8101F164195D}">
  <dimension ref="A2:AI24"/>
  <sheetViews>
    <sheetView tabSelected="1" workbookViewId="0">
      <selection activeCell="AI4" sqref="AI4:AI20"/>
    </sheetView>
  </sheetViews>
  <sheetFormatPr defaultRowHeight="14.4" x14ac:dyDescent="0.3"/>
  <cols>
    <col min="2" max="2" width="9.6640625" bestFit="1" customWidth="1"/>
    <col min="3" max="3" width="12.21875" customWidth="1"/>
    <col min="6" max="6" width="11" customWidth="1"/>
    <col min="7" max="7" width="10.21875" customWidth="1"/>
    <col min="10" max="10" width="11" customWidth="1"/>
    <col min="11" max="11" width="9.6640625" customWidth="1"/>
    <col min="14" max="15" width="10.33203125" customWidth="1"/>
    <col min="18" max="18" width="9.6640625" bestFit="1" customWidth="1"/>
    <col min="19" max="19" width="9.6640625" customWidth="1"/>
    <col min="22" max="23" width="9.44140625" customWidth="1"/>
    <col min="26" max="27" width="10.109375" customWidth="1"/>
    <col min="30" max="31" width="9.5546875" customWidth="1"/>
    <col min="34" max="34" width="10.109375" customWidth="1"/>
    <col min="35" max="35" width="10" bestFit="1" customWidth="1"/>
  </cols>
  <sheetData>
    <row r="2" spans="1:35" ht="15" thickBot="1" x14ac:dyDescent="0.35">
      <c r="A2" s="2" t="s">
        <v>0</v>
      </c>
      <c r="E2" s="2" t="s">
        <v>5</v>
      </c>
      <c r="I2" s="2" t="s">
        <v>6</v>
      </c>
      <c r="M2" s="2" t="s">
        <v>7</v>
      </c>
      <c r="Q2" s="2" t="s">
        <v>8</v>
      </c>
      <c r="U2" s="2" t="s">
        <v>9</v>
      </c>
      <c r="Y2" s="2" t="s">
        <v>10</v>
      </c>
      <c r="AC2" s="2" t="s">
        <v>11</v>
      </c>
      <c r="AG2" s="2" t="s">
        <v>12</v>
      </c>
    </row>
    <row r="3" spans="1:35" ht="15" thickBot="1" x14ac:dyDescent="0.35">
      <c r="A3" s="10" t="s">
        <v>1</v>
      </c>
      <c r="B3" s="11" t="s">
        <v>2</v>
      </c>
      <c r="C3" s="10" t="s">
        <v>3</v>
      </c>
      <c r="E3" s="3" t="s">
        <v>1</v>
      </c>
      <c r="F3" s="10" t="s">
        <v>2</v>
      </c>
      <c r="G3" s="10" t="s">
        <v>3</v>
      </c>
      <c r="I3" s="12" t="s">
        <v>1</v>
      </c>
      <c r="J3" s="10" t="s">
        <v>2</v>
      </c>
      <c r="K3" s="7" t="s">
        <v>3</v>
      </c>
      <c r="M3" s="10" t="s">
        <v>1</v>
      </c>
      <c r="N3" s="10" t="s">
        <v>2</v>
      </c>
      <c r="O3" s="7" t="s">
        <v>3</v>
      </c>
      <c r="Q3" s="12" t="s">
        <v>1</v>
      </c>
      <c r="R3" s="11" t="s">
        <v>2</v>
      </c>
      <c r="S3" s="7" t="s">
        <v>3</v>
      </c>
      <c r="U3" s="3" t="s">
        <v>1</v>
      </c>
      <c r="V3" s="10" t="s">
        <v>2</v>
      </c>
      <c r="W3" s="7" t="s">
        <v>3</v>
      </c>
      <c r="Y3" s="10" t="s">
        <v>1</v>
      </c>
      <c r="Z3" s="4" t="s">
        <v>2</v>
      </c>
      <c r="AA3" s="7" t="s">
        <v>3</v>
      </c>
      <c r="AC3" s="10" t="s">
        <v>1</v>
      </c>
      <c r="AD3" s="10" t="s">
        <v>2</v>
      </c>
      <c r="AE3" s="4" t="s">
        <v>3</v>
      </c>
      <c r="AG3" s="10" t="s">
        <v>1</v>
      </c>
      <c r="AH3" s="4" t="s">
        <v>2</v>
      </c>
      <c r="AI3" s="4" t="s">
        <v>3</v>
      </c>
    </row>
    <row r="4" spans="1:35" x14ac:dyDescent="0.3">
      <c r="A4" s="8">
        <v>5.6</v>
      </c>
      <c r="B4" s="13">
        <f>C4/SUM($C$4:$C$12)</f>
        <v>3.639081578203961E-3</v>
      </c>
      <c r="C4" s="19">
        <v>3710</v>
      </c>
      <c r="E4" s="7">
        <v>5.6</v>
      </c>
      <c r="F4" s="29">
        <f>G4/SUM($G$4:$G$13)</f>
        <v>1.1836654172420597E-3</v>
      </c>
      <c r="G4" s="19">
        <v>1200</v>
      </c>
      <c r="H4" s="18"/>
      <c r="I4" s="5">
        <v>8.9</v>
      </c>
      <c r="J4" s="33">
        <f>K4/SUM($K$4:$K$14)</f>
        <v>7.5958258077463375E-4</v>
      </c>
      <c r="K4" s="19">
        <v>757</v>
      </c>
      <c r="M4" s="5">
        <v>8.4</v>
      </c>
      <c r="N4" s="16">
        <f>O4/SUM($O$4:$O$15)</f>
        <v>6.51535026975989E-4</v>
      </c>
      <c r="O4" s="22">
        <v>748</v>
      </c>
      <c r="Q4" s="5">
        <v>10</v>
      </c>
      <c r="R4" s="15">
        <f>S4/SUM($S$4:$S$16)</f>
        <v>2.1616098097783368E-4</v>
      </c>
      <c r="S4" s="22">
        <v>220</v>
      </c>
      <c r="U4" s="7">
        <v>8.1</v>
      </c>
      <c r="V4" s="13">
        <f>W4/SUM($W$4:$W$17)</f>
        <v>1.060164325470448E-4</v>
      </c>
      <c r="W4" s="22">
        <v>112</v>
      </c>
      <c r="Y4" s="5">
        <v>7.1</v>
      </c>
      <c r="Z4" s="15">
        <f>AA4/SUM($AA$4:$AA$18)</f>
        <v>8.502925006202133E-5</v>
      </c>
      <c r="AA4" s="22">
        <v>85</v>
      </c>
      <c r="AC4" s="7">
        <v>15</v>
      </c>
      <c r="AD4" s="13">
        <f>AE4/SUM($AE$4:$AE$19)</f>
        <v>4.7995883872999053E-5</v>
      </c>
      <c r="AE4" s="22">
        <v>50</v>
      </c>
      <c r="AG4" s="5">
        <v>16</v>
      </c>
      <c r="AH4" s="15">
        <f>AI4/SUM($AI$4:$AI$20)</f>
        <v>1.9992282978770195E-5</v>
      </c>
      <c r="AI4" s="22">
        <v>20</v>
      </c>
    </row>
    <row r="5" spans="1:35" x14ac:dyDescent="0.3">
      <c r="A5" s="8">
        <v>2.1</v>
      </c>
      <c r="B5" s="13">
        <f t="shared" ref="B5:B12" si="0">C5/SUM($C$4:$C$12)</f>
        <v>2.7342156062651057E-2</v>
      </c>
      <c r="C5" s="20">
        <v>27875</v>
      </c>
      <c r="E5" s="8">
        <v>2</v>
      </c>
      <c r="F5" s="29">
        <f t="shared" ref="F5:F13" si="1">G5/SUM($G$4:$G$13)</f>
        <v>1.4330242651410535E-2</v>
      </c>
      <c r="G5" s="31">
        <v>14528</v>
      </c>
      <c r="I5" s="5">
        <v>3</v>
      </c>
      <c r="J5" s="33">
        <f t="shared" ref="J5:J14" si="2">K5/SUM($K$4:$K$14)</f>
        <v>9.1471001404776243E-3</v>
      </c>
      <c r="K5" s="20">
        <v>9116</v>
      </c>
      <c r="M5" s="5">
        <v>3</v>
      </c>
      <c r="N5" s="16">
        <f t="shared" ref="N5:N15" si="3">O5/SUM($O$4:$O$15)</f>
        <v>4.3943772875586424E-3</v>
      </c>
      <c r="O5" s="23">
        <v>5045</v>
      </c>
      <c r="Q5" s="5">
        <v>3</v>
      </c>
      <c r="R5" s="16">
        <f t="shared" ref="R5:R16" si="4">S5/SUM($S$4:$S$16)</f>
        <v>2.6135827700047164E-3</v>
      </c>
      <c r="S5" s="23">
        <v>2660</v>
      </c>
      <c r="U5" s="8">
        <v>4</v>
      </c>
      <c r="V5" s="13">
        <f t="shared" ref="V5:V17" si="5">W5/SUM($W$4:$W$17)</f>
        <v>1.3980917042141531E-3</v>
      </c>
      <c r="W5" s="23">
        <v>1477</v>
      </c>
      <c r="Y5" s="5">
        <v>4</v>
      </c>
      <c r="Z5" s="16">
        <f>AA5/SUM($AA$4:$AA$18)</f>
        <v>5.7019614747473135E-4</v>
      </c>
      <c r="AA5" s="23">
        <v>570</v>
      </c>
      <c r="AC5" s="8">
        <v>8</v>
      </c>
      <c r="AD5" s="13">
        <f t="shared" ref="AD5:AD19" si="6">AE5/SUM($AE$4:$AE$19)</f>
        <v>4.3964229627667129E-4</v>
      </c>
      <c r="AE5" s="23">
        <v>458</v>
      </c>
      <c r="AG5" s="5">
        <v>9</v>
      </c>
      <c r="AH5" s="16">
        <f t="shared" ref="AH5:AH20" si="7">AI5/SUM($AI$4:$AI$20)</f>
        <v>2.9388655978792184E-4</v>
      </c>
      <c r="AI5" s="23">
        <v>294</v>
      </c>
    </row>
    <row r="6" spans="1:35" x14ac:dyDescent="0.3">
      <c r="A6" s="8">
        <v>1.1000000000000001</v>
      </c>
      <c r="B6" s="13">
        <f t="shared" si="0"/>
        <v>0.1097462647917386</v>
      </c>
      <c r="C6" s="20">
        <v>111885</v>
      </c>
      <c r="E6" s="8">
        <v>1.6</v>
      </c>
      <c r="F6" s="29">
        <f t="shared" si="1"/>
        <v>7.0046360228841975E-2</v>
      </c>
      <c r="G6" s="31">
        <v>71013</v>
      </c>
      <c r="I6" s="5">
        <v>1.4</v>
      </c>
      <c r="J6" s="33">
        <f t="shared" si="2"/>
        <v>3.7171382701184023E-2</v>
      </c>
      <c r="K6" s="20">
        <v>37045</v>
      </c>
      <c r="M6" s="5">
        <v>1.9</v>
      </c>
      <c r="N6" s="16">
        <f t="shared" si="3"/>
        <v>2.107907440216435E-2</v>
      </c>
      <c r="O6" s="23">
        <v>24200</v>
      </c>
      <c r="Q6" s="5">
        <v>1.6</v>
      </c>
      <c r="R6" s="16">
        <f t="shared" si="4"/>
        <v>1.3303725829272127E-2</v>
      </c>
      <c r="S6" s="23">
        <v>13540</v>
      </c>
      <c r="U6" s="8">
        <v>3</v>
      </c>
      <c r="V6" s="13">
        <f t="shared" si="5"/>
        <v>7.6871379349513456E-3</v>
      </c>
      <c r="W6" s="23">
        <v>8121</v>
      </c>
      <c r="Y6" s="5">
        <v>1.9</v>
      </c>
      <c r="Z6" s="16">
        <f t="shared" ref="Z6:Z18" si="8">AA6/SUM($AA$4:$AA$18)</f>
        <v>4.4055154973310822E-3</v>
      </c>
      <c r="AA6" s="23">
        <v>4404</v>
      </c>
      <c r="AC6" s="8">
        <v>3</v>
      </c>
      <c r="AD6" s="13">
        <f t="shared" si="6"/>
        <v>2.9315885869627819E-3</v>
      </c>
      <c r="AE6" s="23">
        <v>3054</v>
      </c>
      <c r="AG6" s="5">
        <v>2</v>
      </c>
      <c r="AH6" s="16">
        <f t="shared" si="7"/>
        <v>1.5344077186206125E-3</v>
      </c>
      <c r="AI6" s="23">
        <v>1535</v>
      </c>
    </row>
    <row r="7" spans="1:35" x14ac:dyDescent="0.3">
      <c r="A7" s="8">
        <v>1</v>
      </c>
      <c r="B7" s="13">
        <f t="shared" si="0"/>
        <v>0.21368569321070968</v>
      </c>
      <c r="C7" s="20">
        <v>217850</v>
      </c>
      <c r="E7" s="8">
        <v>1</v>
      </c>
      <c r="F7" s="29">
        <f t="shared" si="1"/>
        <v>0.15842671138291575</v>
      </c>
      <c r="G7" s="31">
        <v>160613</v>
      </c>
      <c r="I7" s="5">
        <v>1.1000000000000001</v>
      </c>
      <c r="J7" s="33">
        <f t="shared" si="2"/>
        <v>0.11648404575556894</v>
      </c>
      <c r="K7" s="20">
        <v>116088</v>
      </c>
      <c r="M7" s="5">
        <v>1.3</v>
      </c>
      <c r="N7" s="16">
        <f t="shared" si="3"/>
        <v>7.0036531255389542E-2</v>
      </c>
      <c r="O7" s="23">
        <v>80406</v>
      </c>
      <c r="Q7" s="5">
        <v>1.4</v>
      </c>
      <c r="R7" s="16">
        <f t="shared" si="4"/>
        <v>4.9334813708536394E-2</v>
      </c>
      <c r="S7" s="23">
        <v>50211</v>
      </c>
      <c r="U7" s="8">
        <v>1.9</v>
      </c>
      <c r="V7" s="13">
        <f t="shared" si="5"/>
        <v>3.1910946196660482E-2</v>
      </c>
      <c r="W7" s="23">
        <v>33712</v>
      </c>
      <c r="Y7" s="5">
        <v>1.4</v>
      </c>
      <c r="Z7" s="16">
        <f t="shared" si="8"/>
        <v>1.9322646990564754E-2</v>
      </c>
      <c r="AA7" s="23">
        <v>19316</v>
      </c>
      <c r="AC7" s="8">
        <v>2</v>
      </c>
      <c r="AD7" s="13">
        <f t="shared" si="6"/>
        <v>1.0352712151405895E-2</v>
      </c>
      <c r="AE7" s="23">
        <v>10785</v>
      </c>
      <c r="AG7" s="5">
        <v>1.4</v>
      </c>
      <c r="AH7" s="16">
        <f t="shared" si="7"/>
        <v>9.5663074053415377E-3</v>
      </c>
      <c r="AI7" s="23">
        <v>9570</v>
      </c>
    </row>
    <row r="8" spans="1:35" x14ac:dyDescent="0.3">
      <c r="A8" s="8">
        <v>0.5</v>
      </c>
      <c r="B8" s="13">
        <f t="shared" si="0"/>
        <v>0.29117360871339337</v>
      </c>
      <c r="C8" s="20">
        <v>296848</v>
      </c>
      <c r="E8" s="8">
        <v>0.7</v>
      </c>
      <c r="F8" s="29">
        <f t="shared" si="1"/>
        <v>0.25601302031958967</v>
      </c>
      <c r="G8" s="31">
        <v>259546</v>
      </c>
      <c r="I8" s="5">
        <v>1</v>
      </c>
      <c r="J8" s="33">
        <f t="shared" si="2"/>
        <v>0.20477423239012643</v>
      </c>
      <c r="K8" s="20">
        <v>204078</v>
      </c>
      <c r="M8" s="5">
        <v>1</v>
      </c>
      <c r="N8" s="16">
        <f t="shared" si="3"/>
        <v>0.1752524698229532</v>
      </c>
      <c r="O8" s="23">
        <v>201200</v>
      </c>
      <c r="Q8" s="5">
        <v>1.1000000000000001</v>
      </c>
      <c r="R8" s="16">
        <f t="shared" si="4"/>
        <v>0.12414518157522401</v>
      </c>
      <c r="S8" s="23">
        <v>126350</v>
      </c>
      <c r="U8" s="8">
        <v>1.2</v>
      </c>
      <c r="V8" s="13">
        <f t="shared" si="5"/>
        <v>7.9777365491651209E-2</v>
      </c>
      <c r="W8" s="23">
        <v>84280</v>
      </c>
      <c r="Y8" s="5">
        <v>1.3</v>
      </c>
      <c r="Z8" s="16">
        <f t="shared" si="8"/>
        <v>6.1117024256344181E-2</v>
      </c>
      <c r="AA8" s="23">
        <v>61096</v>
      </c>
      <c r="AC8" s="8">
        <v>1.5</v>
      </c>
      <c r="AD8" s="13">
        <f t="shared" si="6"/>
        <v>3.9986330772272968E-2</v>
      </c>
      <c r="AE8" s="23">
        <v>41656</v>
      </c>
      <c r="AG8" s="5">
        <v>1.4</v>
      </c>
      <c r="AH8" s="16">
        <f t="shared" si="7"/>
        <v>2.6760670381232844E-2</v>
      </c>
      <c r="AI8" s="23">
        <v>26771</v>
      </c>
    </row>
    <row r="9" spans="1:35" x14ac:dyDescent="0.3">
      <c r="A9" s="8">
        <v>1</v>
      </c>
      <c r="B9" s="13">
        <f t="shared" si="0"/>
        <v>0.21368569321070968</v>
      </c>
      <c r="C9" s="20">
        <v>217850</v>
      </c>
      <c r="E9" s="8">
        <v>0.7</v>
      </c>
      <c r="F9" s="29">
        <f t="shared" si="1"/>
        <v>0.25601302031958967</v>
      </c>
      <c r="G9" s="31">
        <v>259546</v>
      </c>
      <c r="I9" s="5">
        <v>0.5</v>
      </c>
      <c r="J9" s="33">
        <f t="shared" si="2"/>
        <v>0.26332731286373673</v>
      </c>
      <c r="K9" s="20">
        <v>262432</v>
      </c>
      <c r="M9" s="5">
        <v>0.7</v>
      </c>
      <c r="N9" s="16">
        <f t="shared" si="3"/>
        <v>0.22858601220495828</v>
      </c>
      <c r="O9" s="23">
        <v>262430</v>
      </c>
      <c r="Q9" s="5">
        <v>1</v>
      </c>
      <c r="R9" s="16">
        <f t="shared" si="4"/>
        <v>0.18584931614526018</v>
      </c>
      <c r="S9" s="23">
        <v>189150</v>
      </c>
      <c r="U9" s="8">
        <v>0.9</v>
      </c>
      <c r="V9" s="13">
        <f t="shared" si="5"/>
        <v>0.16878762636780129</v>
      </c>
      <c r="W9" s="23">
        <v>178314</v>
      </c>
      <c r="Y9" s="5">
        <v>1.1000000000000001</v>
      </c>
      <c r="Z9" s="16">
        <f t="shared" si="8"/>
        <v>0.12223404851268836</v>
      </c>
      <c r="AA9" s="23">
        <v>122192</v>
      </c>
      <c r="AC9" s="8">
        <v>1.1000000000000001</v>
      </c>
      <c r="AD9" s="13">
        <f t="shared" si="6"/>
        <v>8.7970695633142498E-2</v>
      </c>
      <c r="AE9" s="23">
        <v>91644</v>
      </c>
      <c r="AG9" s="5">
        <v>1.2</v>
      </c>
      <c r="AH9" s="16">
        <f t="shared" si="7"/>
        <v>6.4125247654405401E-2</v>
      </c>
      <c r="AI9" s="23">
        <v>64150</v>
      </c>
    </row>
    <row r="10" spans="1:35" x14ac:dyDescent="0.3">
      <c r="A10" s="8">
        <v>1.1000000000000001</v>
      </c>
      <c r="B10" s="13">
        <f t="shared" si="0"/>
        <v>0.1097462647917386</v>
      </c>
      <c r="C10" s="20">
        <v>111885</v>
      </c>
      <c r="E10" s="8">
        <v>1</v>
      </c>
      <c r="F10" s="29">
        <f t="shared" si="1"/>
        <v>0.15842671138291575</v>
      </c>
      <c r="G10" s="31">
        <v>160613</v>
      </c>
      <c r="I10" s="5">
        <v>1</v>
      </c>
      <c r="J10" s="33">
        <f t="shared" si="2"/>
        <v>0.20477423239012643</v>
      </c>
      <c r="K10" s="20">
        <v>204078</v>
      </c>
      <c r="M10" s="5">
        <v>0.7</v>
      </c>
      <c r="N10" s="16">
        <f t="shared" si="3"/>
        <v>0.22858601220495828</v>
      </c>
      <c r="O10" s="23">
        <v>262430</v>
      </c>
      <c r="Q10" s="5">
        <v>0.5</v>
      </c>
      <c r="R10" s="16">
        <f t="shared" si="4"/>
        <v>0.24909408897972016</v>
      </c>
      <c r="S10" s="23">
        <v>253518</v>
      </c>
      <c r="U10" s="8">
        <v>0.7</v>
      </c>
      <c r="V10" s="13">
        <f t="shared" si="5"/>
        <v>0.21033281587217448</v>
      </c>
      <c r="W10" s="23">
        <v>222204</v>
      </c>
      <c r="Y10" s="5">
        <v>1</v>
      </c>
      <c r="Z10" s="16">
        <f t="shared" si="8"/>
        <v>0.17339964947942091</v>
      </c>
      <c r="AA10" s="23">
        <v>173340</v>
      </c>
      <c r="AC10" s="8">
        <v>1</v>
      </c>
      <c r="AD10" s="13">
        <f t="shared" si="6"/>
        <v>0.14574526088642639</v>
      </c>
      <c r="AE10" s="23">
        <v>151831</v>
      </c>
      <c r="AG10" s="5">
        <v>1.1000000000000001</v>
      </c>
      <c r="AH10" s="16">
        <f t="shared" si="7"/>
        <v>0.12014562378921737</v>
      </c>
      <c r="AI10" s="23">
        <v>120192</v>
      </c>
    </row>
    <row r="11" spans="1:35" x14ac:dyDescent="0.3">
      <c r="A11" s="8">
        <v>2.1</v>
      </c>
      <c r="B11" s="13">
        <f t="shared" si="0"/>
        <v>2.7342156062651057E-2</v>
      </c>
      <c r="C11" s="20">
        <v>27875</v>
      </c>
      <c r="E11" s="8">
        <v>1.6</v>
      </c>
      <c r="F11" s="29">
        <f t="shared" si="1"/>
        <v>7.0046360228841975E-2</v>
      </c>
      <c r="G11" s="31">
        <v>71013</v>
      </c>
      <c r="I11" s="5">
        <v>1.1000000000000001</v>
      </c>
      <c r="J11" s="33">
        <f t="shared" si="2"/>
        <v>0.11648404575556894</v>
      </c>
      <c r="K11" s="20">
        <v>116088</v>
      </c>
      <c r="M11" s="5">
        <v>1</v>
      </c>
      <c r="N11" s="16">
        <f t="shared" si="3"/>
        <v>0.1752524698229532</v>
      </c>
      <c r="O11" s="23">
        <v>201200</v>
      </c>
      <c r="Q11" s="5">
        <v>1</v>
      </c>
      <c r="R11" s="16">
        <f t="shared" si="4"/>
        <v>0.18584931614526018</v>
      </c>
      <c r="S11" s="23">
        <v>189150</v>
      </c>
      <c r="U11" s="8">
        <v>0.7</v>
      </c>
      <c r="V11" s="13">
        <f t="shared" si="5"/>
        <v>0.21033281587217448</v>
      </c>
      <c r="W11" s="23">
        <v>222204</v>
      </c>
      <c r="Y11" s="5">
        <v>0.5</v>
      </c>
      <c r="Z11" s="16">
        <f t="shared" si="8"/>
        <v>0.23783181414406557</v>
      </c>
      <c r="AA11" s="23">
        <v>237750</v>
      </c>
      <c r="AC11" s="8">
        <v>0.7</v>
      </c>
      <c r="AD11" s="13">
        <f t="shared" si="6"/>
        <v>0.2125257737896398</v>
      </c>
      <c r="AE11" s="23">
        <v>221400</v>
      </c>
      <c r="AG11" s="5">
        <v>1</v>
      </c>
      <c r="AH11" s="16">
        <f t="shared" si="7"/>
        <v>0.16049904736771606</v>
      </c>
      <c r="AI11" s="23">
        <v>160561</v>
      </c>
    </row>
    <row r="12" spans="1:35" ht="15" thickBot="1" x14ac:dyDescent="0.35">
      <c r="A12" s="9">
        <v>5.6</v>
      </c>
      <c r="B12" s="14">
        <f t="shared" si="0"/>
        <v>3.639081578203961E-3</v>
      </c>
      <c r="C12" s="21">
        <v>3710</v>
      </c>
      <c r="E12" s="8">
        <v>2</v>
      </c>
      <c r="F12" s="29">
        <f t="shared" si="1"/>
        <v>1.4330242651410535E-2</v>
      </c>
      <c r="G12" s="31">
        <v>14528</v>
      </c>
      <c r="I12" s="5">
        <v>1.4</v>
      </c>
      <c r="J12" s="33">
        <f t="shared" si="2"/>
        <v>3.7171382701184023E-2</v>
      </c>
      <c r="K12" s="20">
        <v>37045</v>
      </c>
      <c r="M12" s="5">
        <v>1.3</v>
      </c>
      <c r="N12" s="16">
        <f t="shared" si="3"/>
        <v>7.0036531255389542E-2</v>
      </c>
      <c r="O12" s="23">
        <v>80406</v>
      </c>
      <c r="Q12" s="5">
        <v>1.1000000000000001</v>
      </c>
      <c r="R12" s="16">
        <f t="shared" si="4"/>
        <v>0.12414518157522401</v>
      </c>
      <c r="S12" s="23">
        <v>126350</v>
      </c>
      <c r="U12" s="8">
        <v>0.9</v>
      </c>
      <c r="V12" s="13">
        <f t="shared" si="5"/>
        <v>0.16878762636780129</v>
      </c>
      <c r="W12" s="23">
        <v>178314</v>
      </c>
      <c r="Y12" s="5">
        <v>1</v>
      </c>
      <c r="Z12" s="16">
        <f t="shared" si="8"/>
        <v>0.17329961506758326</v>
      </c>
      <c r="AA12" s="23">
        <v>173240</v>
      </c>
      <c r="AC12" s="8">
        <v>0.7</v>
      </c>
      <c r="AD12" s="13">
        <f t="shared" si="6"/>
        <v>0.2125257737896398</v>
      </c>
      <c r="AE12" s="23">
        <v>221400</v>
      </c>
      <c r="AG12" s="5">
        <v>0.5</v>
      </c>
      <c r="AH12" s="16">
        <f t="shared" si="7"/>
        <v>0.23420959509629283</v>
      </c>
      <c r="AI12" s="23">
        <v>234300</v>
      </c>
    </row>
    <row r="13" spans="1:35" ht="15" thickBot="1" x14ac:dyDescent="0.35">
      <c r="E13" s="9">
        <v>5.6</v>
      </c>
      <c r="F13" s="30">
        <f t="shared" si="1"/>
        <v>1.1836654172420597E-3</v>
      </c>
      <c r="G13" s="32">
        <v>1200</v>
      </c>
      <c r="I13" s="5">
        <v>3</v>
      </c>
      <c r="J13" s="33">
        <f t="shared" si="2"/>
        <v>9.1471001404776243E-3</v>
      </c>
      <c r="K13" s="20">
        <v>9116</v>
      </c>
      <c r="M13" s="5">
        <v>1.9</v>
      </c>
      <c r="N13" s="16">
        <f t="shared" si="3"/>
        <v>2.107907440216435E-2</v>
      </c>
      <c r="O13" s="23">
        <v>24200</v>
      </c>
      <c r="Q13" s="5">
        <v>1.4</v>
      </c>
      <c r="R13" s="16">
        <f t="shared" si="4"/>
        <v>4.9334813708536394E-2</v>
      </c>
      <c r="S13" s="23">
        <v>50211</v>
      </c>
      <c r="U13" s="8">
        <v>1.2</v>
      </c>
      <c r="V13" s="13">
        <f t="shared" si="5"/>
        <v>7.9777365491651209E-2</v>
      </c>
      <c r="W13" s="23">
        <v>84280</v>
      </c>
      <c r="Y13" s="5">
        <v>1.1000000000000001</v>
      </c>
      <c r="Z13" s="16">
        <f t="shared" si="8"/>
        <v>0.12223404851268836</v>
      </c>
      <c r="AA13" s="23">
        <v>122192</v>
      </c>
      <c r="AC13" s="8">
        <v>1</v>
      </c>
      <c r="AD13" s="13">
        <f t="shared" si="6"/>
        <v>0.14574526088642639</v>
      </c>
      <c r="AE13" s="23">
        <v>151831</v>
      </c>
      <c r="AG13" s="5">
        <v>1</v>
      </c>
      <c r="AH13" s="16">
        <f t="shared" si="7"/>
        <v>0.16039908595282221</v>
      </c>
      <c r="AI13" s="23">
        <v>160461</v>
      </c>
    </row>
    <row r="14" spans="1:35" ht="15" thickBot="1" x14ac:dyDescent="0.35">
      <c r="A14" t="s">
        <v>4</v>
      </c>
      <c r="B14" s="1">
        <f>SUMPRODUCT(A4:A12,C4:C12)/SUM(C4:C12)</f>
        <v>0.96999474245895978</v>
      </c>
      <c r="C14" s="1"/>
      <c r="I14" s="6">
        <v>8.9</v>
      </c>
      <c r="J14" s="34">
        <f t="shared" si="2"/>
        <v>7.5958258077463375E-4</v>
      </c>
      <c r="K14" s="21">
        <v>757</v>
      </c>
      <c r="M14" s="5">
        <v>3</v>
      </c>
      <c r="N14" s="16">
        <f t="shared" si="3"/>
        <v>4.3943772875586424E-3</v>
      </c>
      <c r="O14" s="23">
        <v>5045</v>
      </c>
      <c r="Q14" s="5">
        <v>1.6</v>
      </c>
      <c r="R14" s="16">
        <f t="shared" si="4"/>
        <v>1.3284074831001415E-2</v>
      </c>
      <c r="S14" s="23">
        <v>13520</v>
      </c>
      <c r="U14" s="8">
        <v>1.9</v>
      </c>
      <c r="V14" s="13">
        <f t="shared" si="5"/>
        <v>3.1910946196660482E-2</v>
      </c>
      <c r="W14" s="23">
        <v>33712</v>
      </c>
      <c r="Y14" s="5">
        <v>1.3</v>
      </c>
      <c r="Z14" s="16">
        <f t="shared" si="8"/>
        <v>6.1117024256344181E-2</v>
      </c>
      <c r="AA14" s="23">
        <v>61096</v>
      </c>
      <c r="AC14" s="8">
        <v>1.1000000000000001</v>
      </c>
      <c r="AD14" s="13">
        <f t="shared" si="6"/>
        <v>8.7970695633142498E-2</v>
      </c>
      <c r="AE14" s="23">
        <v>91644</v>
      </c>
      <c r="AG14" s="5">
        <v>1.1000000000000001</v>
      </c>
      <c r="AH14" s="16">
        <f t="shared" si="7"/>
        <v>0.12014562378921737</v>
      </c>
      <c r="AI14" s="23">
        <v>120192</v>
      </c>
    </row>
    <row r="15" spans="1:35" ht="15" thickBot="1" x14ac:dyDescent="0.35">
      <c r="E15" t="s">
        <v>4</v>
      </c>
      <c r="F15" s="1">
        <f>SUMPRODUCT(E4:E13,G4:G13)/SUM(G4:G13)</f>
        <v>0.96999802722430462</v>
      </c>
      <c r="M15" s="6">
        <v>8.4</v>
      </c>
      <c r="N15" s="17">
        <f t="shared" si="3"/>
        <v>6.51535026975989E-4</v>
      </c>
      <c r="O15" s="24">
        <v>748</v>
      </c>
      <c r="Q15" s="5">
        <v>3</v>
      </c>
      <c r="R15" s="16">
        <f t="shared" si="4"/>
        <v>2.6135827700047164E-3</v>
      </c>
      <c r="S15" s="23">
        <v>2660</v>
      </c>
      <c r="U15" s="8">
        <v>3</v>
      </c>
      <c r="V15" s="13">
        <f t="shared" si="5"/>
        <v>7.6871379349513456E-3</v>
      </c>
      <c r="W15" s="23">
        <v>8121</v>
      </c>
      <c r="Y15" s="5">
        <v>1.4</v>
      </c>
      <c r="Z15" s="16">
        <f t="shared" si="8"/>
        <v>1.9322646990564754E-2</v>
      </c>
      <c r="AA15" s="23">
        <v>19316</v>
      </c>
      <c r="AC15" s="8">
        <v>1.5</v>
      </c>
      <c r="AD15" s="13">
        <f t="shared" si="6"/>
        <v>3.9986330772272968E-2</v>
      </c>
      <c r="AE15" s="23">
        <v>41656</v>
      </c>
      <c r="AG15" s="5">
        <v>1.2</v>
      </c>
      <c r="AH15" s="16">
        <f t="shared" si="7"/>
        <v>6.4125247654405401E-2</v>
      </c>
      <c r="AI15" s="23">
        <v>64150</v>
      </c>
    </row>
    <row r="16" spans="1:35" ht="15" thickBot="1" x14ac:dyDescent="0.35">
      <c r="B16" s="25"/>
      <c r="I16" t="s">
        <v>4</v>
      </c>
      <c r="J16" s="1">
        <f>SUMPRODUCT(I4:I14,J4:J14)</f>
        <v>0.96996006421834247</v>
      </c>
      <c r="K16" s="1"/>
      <c r="Q16" s="6">
        <v>10</v>
      </c>
      <c r="R16" s="17">
        <f t="shared" si="4"/>
        <v>2.1616098097783368E-4</v>
      </c>
      <c r="S16" s="24">
        <v>220</v>
      </c>
      <c r="U16" s="8">
        <v>4</v>
      </c>
      <c r="V16" s="13">
        <f t="shared" si="5"/>
        <v>1.3980917042141531E-3</v>
      </c>
      <c r="W16" s="23">
        <v>1477</v>
      </c>
      <c r="Y16" s="5">
        <v>1.9</v>
      </c>
      <c r="Z16" s="16">
        <f t="shared" si="8"/>
        <v>4.4055154973310822E-3</v>
      </c>
      <c r="AA16" s="23">
        <v>4404</v>
      </c>
      <c r="AC16" s="8">
        <v>2</v>
      </c>
      <c r="AD16" s="13">
        <f t="shared" si="6"/>
        <v>1.0352712151405895E-2</v>
      </c>
      <c r="AE16" s="23">
        <v>10785</v>
      </c>
      <c r="AG16" s="5">
        <v>1.4</v>
      </c>
      <c r="AH16" s="16">
        <f t="shared" si="7"/>
        <v>2.6760670381232844E-2</v>
      </c>
      <c r="AI16" s="23">
        <v>26771</v>
      </c>
    </row>
    <row r="17" spans="2:35" ht="15" thickBot="1" x14ac:dyDescent="0.35">
      <c r="F17" s="28"/>
      <c r="M17" t="s">
        <v>4</v>
      </c>
      <c r="N17" s="1">
        <f>SUMPRODUCT(M4:M15,O4:O15)/SUM(O4:O15)</f>
        <v>0.97003287290363382</v>
      </c>
      <c r="O17" s="1"/>
      <c r="U17" s="9">
        <v>8.1</v>
      </c>
      <c r="V17" s="14">
        <f t="shared" si="5"/>
        <v>1.060164325470448E-4</v>
      </c>
      <c r="W17" s="24">
        <v>112</v>
      </c>
      <c r="Y17" s="5">
        <v>4</v>
      </c>
      <c r="Z17" s="16">
        <f t="shared" si="8"/>
        <v>5.7019614747473135E-4</v>
      </c>
      <c r="AA17" s="23">
        <v>570</v>
      </c>
      <c r="AC17" s="8">
        <v>3</v>
      </c>
      <c r="AD17" s="13">
        <f t="shared" si="6"/>
        <v>2.9315885869627819E-3</v>
      </c>
      <c r="AE17" s="23">
        <v>3054</v>
      </c>
      <c r="AG17" s="5">
        <v>1.4</v>
      </c>
      <c r="AH17" s="16">
        <f t="shared" si="7"/>
        <v>9.5663074053415377E-3</v>
      </c>
      <c r="AI17" s="23">
        <v>9570</v>
      </c>
    </row>
    <row r="18" spans="2:35" ht="15" thickBot="1" x14ac:dyDescent="0.35">
      <c r="J18" s="28"/>
      <c r="Q18" t="s">
        <v>4</v>
      </c>
      <c r="R18" s="1">
        <f>SUMPRODUCT(Q4:Q16,S4:S16)/SUM(S4:S16)</f>
        <v>0.97004775192579784</v>
      </c>
      <c r="S18" s="1"/>
      <c r="Y18" s="6">
        <v>7.1</v>
      </c>
      <c r="Z18" s="17">
        <f t="shared" si="8"/>
        <v>8.502925006202133E-5</v>
      </c>
      <c r="AA18" s="24">
        <v>85</v>
      </c>
      <c r="AC18" s="8">
        <v>8</v>
      </c>
      <c r="AD18" s="13">
        <f t="shared" si="6"/>
        <v>4.3964229627667129E-4</v>
      </c>
      <c r="AE18" s="23">
        <v>458</v>
      </c>
      <c r="AG18" s="5">
        <v>2</v>
      </c>
      <c r="AH18" s="16">
        <f t="shared" si="7"/>
        <v>1.5344077186206125E-3</v>
      </c>
      <c r="AI18" s="23">
        <v>1535</v>
      </c>
    </row>
    <row r="19" spans="2:35" ht="15" thickBot="1" x14ac:dyDescent="0.35">
      <c r="F19" s="27"/>
      <c r="N19" s="28"/>
      <c r="U19" t="s">
        <v>4</v>
      </c>
      <c r="V19" s="1">
        <f>SUMPRODUCT(U4:U17,V4:V17)</f>
        <v>0.97003596986104279</v>
      </c>
      <c r="W19" s="1"/>
      <c r="AC19" s="9">
        <v>15</v>
      </c>
      <c r="AD19" s="14">
        <f t="shared" si="6"/>
        <v>4.7995883872999053E-5</v>
      </c>
      <c r="AE19" s="24">
        <v>50</v>
      </c>
      <c r="AG19" s="5">
        <v>9</v>
      </c>
      <c r="AH19" s="16">
        <f t="shared" si="7"/>
        <v>2.9388655978792184E-4</v>
      </c>
      <c r="AI19" s="23">
        <v>294</v>
      </c>
    </row>
    <row r="20" spans="2:35" ht="15" thickBot="1" x14ac:dyDescent="0.35">
      <c r="B20" s="26"/>
      <c r="Y20" t="s">
        <v>4</v>
      </c>
      <c r="Z20" s="1">
        <f>SUMPRODUCT(Y4:Y18,Z4:Z18)</f>
        <v>0.97004769640756427</v>
      </c>
      <c r="AA20" s="1"/>
      <c r="AG20" s="6">
        <v>16</v>
      </c>
      <c r="AH20" s="17">
        <f t="shared" si="7"/>
        <v>1.9992282978770195E-5</v>
      </c>
      <c r="AI20" s="24">
        <v>20</v>
      </c>
    </row>
    <row r="21" spans="2:35" x14ac:dyDescent="0.3">
      <c r="V21" s="28"/>
      <c r="AC21" t="s">
        <v>4</v>
      </c>
      <c r="AD21" s="1">
        <f>SUMPRODUCT(AC4:AC19,AD4:AD19)</f>
        <v>0.9699956611720979</v>
      </c>
      <c r="AE21" s="1"/>
    </row>
    <row r="22" spans="2:35" x14ac:dyDescent="0.3">
      <c r="AA22" s="28"/>
      <c r="AG22" t="s">
        <v>4</v>
      </c>
      <c r="AH22" s="1">
        <f>SUMPRODUCT(AG4:AG20,AH4:AH20)</f>
        <v>0.9700067773839296</v>
      </c>
    </row>
    <row r="23" spans="2:35" x14ac:dyDescent="0.3">
      <c r="AD23" s="28"/>
      <c r="AI23" s="28"/>
    </row>
    <row r="24" spans="2:35" x14ac:dyDescent="0.3">
      <c r="AH24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CEDF-77E2-4767-A6AF-1385607C078A}">
  <dimension ref="A2:AI24"/>
  <sheetViews>
    <sheetView workbookViewId="0">
      <selection activeCell="AA12" sqref="AA12"/>
    </sheetView>
  </sheetViews>
  <sheetFormatPr defaultRowHeight="14.4" x14ac:dyDescent="0.3"/>
  <cols>
    <col min="2" max="2" width="9.6640625" bestFit="1" customWidth="1"/>
    <col min="3" max="3" width="12.21875" customWidth="1"/>
    <col min="6" max="6" width="14.109375" bestFit="1" customWidth="1"/>
    <col min="10" max="10" width="9.6640625" bestFit="1" customWidth="1"/>
    <col min="11" max="11" width="9.6640625" customWidth="1"/>
    <col min="14" max="15" width="10.33203125" customWidth="1"/>
    <col min="18" max="18" width="9.6640625" bestFit="1" customWidth="1"/>
    <col min="19" max="19" width="9.6640625" customWidth="1"/>
    <col min="22" max="23" width="9.44140625" customWidth="1"/>
    <col min="26" max="27" width="10.109375" customWidth="1"/>
    <col min="30" max="31" width="9.5546875" customWidth="1"/>
    <col min="34" max="34" width="10.109375" customWidth="1"/>
    <col min="35" max="35" width="10" bestFit="1" customWidth="1"/>
  </cols>
  <sheetData>
    <row r="2" spans="1:35" ht="15" thickBot="1" x14ac:dyDescent="0.35">
      <c r="A2" s="2" t="s">
        <v>0</v>
      </c>
      <c r="E2" s="2" t="s">
        <v>5</v>
      </c>
      <c r="I2" s="2" t="s">
        <v>6</v>
      </c>
      <c r="M2" s="2" t="s">
        <v>7</v>
      </c>
      <c r="Q2" s="2" t="s">
        <v>8</v>
      </c>
      <c r="U2" s="2" t="s">
        <v>9</v>
      </c>
      <c r="Y2" s="2" t="s">
        <v>10</v>
      </c>
      <c r="AC2" s="2" t="s">
        <v>11</v>
      </c>
      <c r="AG2" s="2" t="s">
        <v>12</v>
      </c>
    </row>
    <row r="3" spans="1:35" ht="15" thickBot="1" x14ac:dyDescent="0.35">
      <c r="A3" s="10" t="s">
        <v>1</v>
      </c>
      <c r="B3" s="11" t="s">
        <v>2</v>
      </c>
      <c r="C3" s="10" t="s">
        <v>3</v>
      </c>
      <c r="E3" s="3" t="s">
        <v>1</v>
      </c>
      <c r="F3" s="10" t="s">
        <v>2</v>
      </c>
      <c r="G3" s="10" t="s">
        <v>3</v>
      </c>
      <c r="I3" s="12" t="s">
        <v>1</v>
      </c>
      <c r="J3" s="10" t="s">
        <v>2</v>
      </c>
      <c r="K3" s="7" t="s">
        <v>3</v>
      </c>
      <c r="M3" s="10" t="s">
        <v>1</v>
      </c>
      <c r="N3" s="10" t="s">
        <v>2</v>
      </c>
      <c r="O3" s="7" t="s">
        <v>3</v>
      </c>
      <c r="Q3" s="12" t="s">
        <v>1</v>
      </c>
      <c r="R3" s="11" t="s">
        <v>2</v>
      </c>
      <c r="S3" s="7" t="s">
        <v>3</v>
      </c>
      <c r="U3" s="3" t="s">
        <v>1</v>
      </c>
      <c r="V3" s="10" t="s">
        <v>2</v>
      </c>
      <c r="W3" s="7" t="s">
        <v>3</v>
      </c>
      <c r="Y3" s="10" t="s">
        <v>1</v>
      </c>
      <c r="Z3" s="4" t="s">
        <v>2</v>
      </c>
      <c r="AA3" s="7" t="s">
        <v>3</v>
      </c>
      <c r="AC3" s="10" t="s">
        <v>1</v>
      </c>
      <c r="AD3" s="10" t="s">
        <v>2</v>
      </c>
      <c r="AE3" s="4" t="s">
        <v>3</v>
      </c>
      <c r="AG3" s="10" t="s">
        <v>1</v>
      </c>
      <c r="AH3" s="4" t="s">
        <v>2</v>
      </c>
      <c r="AI3" s="4" t="s">
        <v>3</v>
      </c>
    </row>
    <row r="4" spans="1:35" x14ac:dyDescent="0.3">
      <c r="A4" s="8">
        <v>13</v>
      </c>
      <c r="B4" s="13">
        <f>C4/SUM($C$4:$C$12)</f>
        <v>3.6504004558548862E-3</v>
      </c>
      <c r="C4" s="19">
        <v>3690</v>
      </c>
      <c r="E4" s="7">
        <v>18</v>
      </c>
      <c r="F4" s="13">
        <f>G4/SUM($G$4:$G$13)</f>
        <v>1.2744346289377375E-3</v>
      </c>
      <c r="G4" s="22">
        <v>1200</v>
      </c>
      <c r="H4" s="18"/>
      <c r="I4" s="5">
        <v>22</v>
      </c>
      <c r="J4" s="16">
        <f>K4/SUM($K$4:$K$14)</f>
        <v>7.9188407737659371E-4</v>
      </c>
      <c r="K4" s="22">
        <v>757</v>
      </c>
      <c r="M4" s="5">
        <v>24</v>
      </c>
      <c r="N4" s="16">
        <f>O4/SUM($O$4:$O$15)</f>
        <v>7.1650279201937645E-4</v>
      </c>
      <c r="O4" s="22">
        <v>765</v>
      </c>
      <c r="Q4" s="5">
        <v>33</v>
      </c>
      <c r="R4" s="15">
        <f>S4/SUM($S$4:$S$16)</f>
        <v>2.2408461435037869E-4</v>
      </c>
      <c r="S4" s="22">
        <v>220</v>
      </c>
      <c r="U4" s="7">
        <v>43</v>
      </c>
      <c r="V4" s="13">
        <f>W4/SUM($W$4:$W$17)</f>
        <v>1.0774958995294934E-4</v>
      </c>
      <c r="W4" s="22">
        <v>108</v>
      </c>
      <c r="Y4" s="5">
        <v>58</v>
      </c>
      <c r="Z4" s="15">
        <f>AA4/SUM($AA$4:$AA$18)</f>
        <v>8.8370816421584942E-5</v>
      </c>
      <c r="AA4" s="22">
        <v>85</v>
      </c>
      <c r="AC4" s="7">
        <v>88</v>
      </c>
      <c r="AD4" s="13">
        <f>AE4/SUM($AE$4:$AE$19)</f>
        <v>4.9703906727068748E-5</v>
      </c>
      <c r="AE4" s="22">
        <v>49</v>
      </c>
      <c r="AG4" s="5">
        <v>110</v>
      </c>
      <c r="AH4" s="15">
        <f>AI4/SUM($AI$4:$AI$20)</f>
        <v>1.9629319922581961E-5</v>
      </c>
      <c r="AI4" s="22">
        <v>20</v>
      </c>
    </row>
    <row r="5" spans="1:35" x14ac:dyDescent="0.3">
      <c r="A5" s="8">
        <v>3</v>
      </c>
      <c r="B5" s="13">
        <f t="shared" ref="B5:B12" si="0">C5/SUM($C$4:$C$12)</f>
        <v>2.7575857102155814E-2</v>
      </c>
      <c r="C5" s="20">
        <v>27875</v>
      </c>
      <c r="E5" s="8">
        <v>4</v>
      </c>
      <c r="F5" s="13">
        <f t="shared" ref="F5:F13" si="1">G5/SUM($G$4:$G$13)</f>
        <v>1.5429155241006208E-2</v>
      </c>
      <c r="G5" s="8">
        <v>14528</v>
      </c>
      <c r="I5" s="5">
        <v>5</v>
      </c>
      <c r="J5" s="16">
        <f t="shared" ref="J5:J14" si="2">K5/SUM($K$4:$K$14)</f>
        <v>9.5360835526618597E-3</v>
      </c>
      <c r="K5" s="23">
        <v>9116</v>
      </c>
      <c r="M5" s="5">
        <v>6</v>
      </c>
      <c r="N5" s="16">
        <f t="shared" ref="N5:N15" si="3">O5/SUM($O$4:$O$15)</f>
        <v>4.7251720075003325E-3</v>
      </c>
      <c r="O5" s="23">
        <v>5045</v>
      </c>
      <c r="Q5" s="5">
        <v>11</v>
      </c>
      <c r="R5" s="16">
        <f t="shared" ref="R5:R16" si="4">S5/SUM($S$4:$S$16)</f>
        <v>2.7093867007818516E-3</v>
      </c>
      <c r="S5" s="23">
        <v>2660</v>
      </c>
      <c r="U5" s="8">
        <v>13</v>
      </c>
      <c r="V5" s="13">
        <f t="shared" ref="V5:V17" si="5">W5/SUM($W$4:$W$17)</f>
        <v>1.4735754107454277E-3</v>
      </c>
      <c r="W5" s="23">
        <v>1477</v>
      </c>
      <c r="Y5" s="5">
        <v>15</v>
      </c>
      <c r="Z5" s="16">
        <f>AA5/SUM($AA$4:$AA$18)</f>
        <v>5.9260429835651077E-4</v>
      </c>
      <c r="AA5" s="23">
        <v>570</v>
      </c>
      <c r="AC5" s="8">
        <v>18</v>
      </c>
      <c r="AD5" s="13">
        <f t="shared" ref="AD5:AD19" si="6">AE5/SUM($AE$4:$AE$19)</f>
        <v>4.5646444953430481E-4</v>
      </c>
      <c r="AE5" s="23">
        <v>450</v>
      </c>
      <c r="AG5" s="5">
        <v>41</v>
      </c>
      <c r="AH5" s="16">
        <f t="shared" ref="AH5:AH20" si="7">AI5/SUM($AI$4:$AI$20)</f>
        <v>2.8756953686582577E-4</v>
      </c>
      <c r="AI5" s="23">
        <v>293</v>
      </c>
    </row>
    <row r="6" spans="1:35" x14ac:dyDescent="0.3">
      <c r="A6" s="8">
        <v>1.3</v>
      </c>
      <c r="B6" s="13">
        <f t="shared" si="0"/>
        <v>0.11068429674886827</v>
      </c>
      <c r="C6" s="20">
        <v>111885</v>
      </c>
      <c r="E6" s="8">
        <v>1.7</v>
      </c>
      <c r="F6" s="13">
        <f t="shared" si="1"/>
        <v>7.5417855253962954E-2</v>
      </c>
      <c r="G6" s="8">
        <v>71013</v>
      </c>
      <c r="I6" s="5">
        <v>2</v>
      </c>
      <c r="J6" s="16">
        <f t="shared" si="2"/>
        <v>3.8752107855238985E-2</v>
      </c>
      <c r="K6" s="23">
        <v>37045</v>
      </c>
      <c r="M6" s="5">
        <v>3</v>
      </c>
      <c r="N6" s="16">
        <f t="shared" si="3"/>
        <v>2.2665839956691386E-2</v>
      </c>
      <c r="O6" s="23">
        <v>24200</v>
      </c>
      <c r="Q6" s="5">
        <v>4</v>
      </c>
      <c r="R6" s="16">
        <f t="shared" si="4"/>
        <v>1.3791389446836944E-2</v>
      </c>
      <c r="S6" s="23">
        <v>13540</v>
      </c>
      <c r="U6" s="8">
        <v>6</v>
      </c>
      <c r="V6" s="13">
        <f t="shared" si="5"/>
        <v>8.1021705556287189E-3</v>
      </c>
      <c r="W6" s="23">
        <v>8121</v>
      </c>
      <c r="Y6" s="5">
        <v>7</v>
      </c>
      <c r="Z6" s="16">
        <f t="shared" ref="Z6:Z18" si="8">AA6/SUM($AA$4:$AA$18)</f>
        <v>4.5786479473018827E-3</v>
      </c>
      <c r="AA6" s="23">
        <v>4404</v>
      </c>
      <c r="AC6" s="8">
        <v>11</v>
      </c>
      <c r="AD6" s="13">
        <f t="shared" si="6"/>
        <v>3.0978720641728153E-3</v>
      </c>
      <c r="AE6" s="23">
        <v>3054</v>
      </c>
      <c r="AG6" s="5">
        <v>10</v>
      </c>
      <c r="AH6" s="16">
        <f t="shared" si="7"/>
        <v>1.5065503040581655E-3</v>
      </c>
      <c r="AI6" s="23">
        <v>1535</v>
      </c>
    </row>
    <row r="7" spans="1:35" x14ac:dyDescent="0.3">
      <c r="A7" s="8">
        <v>0.7</v>
      </c>
      <c r="B7" s="13">
        <f t="shared" si="0"/>
        <v>0.22560266231916173</v>
      </c>
      <c r="C7" s="20">
        <v>228050</v>
      </c>
      <c r="E7" s="8">
        <v>0.9</v>
      </c>
      <c r="F7" s="13">
        <f t="shared" si="1"/>
        <v>0.17046625190899686</v>
      </c>
      <c r="G7" s="8">
        <v>160510</v>
      </c>
      <c r="I7" s="5">
        <v>1.4</v>
      </c>
      <c r="J7" s="16">
        <f t="shared" si="2"/>
        <v>0.12143756773380979</v>
      </c>
      <c r="K7" s="23">
        <v>116088</v>
      </c>
      <c r="M7" s="5">
        <v>1.8</v>
      </c>
      <c r="N7" s="16">
        <f t="shared" si="3"/>
        <v>7.5308658163542458E-2</v>
      </c>
      <c r="O7" s="23">
        <v>80406</v>
      </c>
      <c r="Q7" s="5">
        <v>2</v>
      </c>
      <c r="R7" s="16">
        <f t="shared" si="4"/>
        <v>5.1143238959758475E-2</v>
      </c>
      <c r="S7" s="23">
        <v>50211</v>
      </c>
      <c r="U7" s="8">
        <v>3</v>
      </c>
      <c r="V7" s="13">
        <f t="shared" si="5"/>
        <v>3.3633834967535449E-2</v>
      </c>
      <c r="W7" s="23">
        <v>33712</v>
      </c>
      <c r="Y7" s="5">
        <v>4</v>
      </c>
      <c r="Z7" s="16">
        <f t="shared" si="8"/>
        <v>2.008200811763923E-2</v>
      </c>
      <c r="AA7" s="23">
        <v>19316</v>
      </c>
      <c r="AC7" s="8">
        <v>5</v>
      </c>
      <c r="AD7" s="13">
        <f t="shared" si="6"/>
        <v>1.0939931307172173E-2</v>
      </c>
      <c r="AE7" s="23">
        <v>10785</v>
      </c>
      <c r="AG7" s="5">
        <v>5</v>
      </c>
      <c r="AH7" s="16">
        <f t="shared" si="7"/>
        <v>9.3926295829554682E-3</v>
      </c>
      <c r="AI7" s="23">
        <v>9570</v>
      </c>
    </row>
    <row r="8" spans="1:35" x14ac:dyDescent="0.3">
      <c r="A8" s="8">
        <v>0.4</v>
      </c>
      <c r="B8" s="13">
        <f t="shared" si="0"/>
        <v>0.26497356674791855</v>
      </c>
      <c r="C8" s="20">
        <v>267848</v>
      </c>
      <c r="E8" s="8">
        <v>0.5</v>
      </c>
      <c r="F8" s="13">
        <f t="shared" si="1"/>
        <v>0.23741230296709623</v>
      </c>
      <c r="G8" s="8">
        <v>223546</v>
      </c>
      <c r="I8" s="5">
        <v>0.6</v>
      </c>
      <c r="J8" s="16">
        <f t="shared" si="2"/>
        <v>0.20302150326168369</v>
      </c>
      <c r="K8" s="23">
        <v>194078</v>
      </c>
      <c r="M8" s="5">
        <v>0.7</v>
      </c>
      <c r="N8" s="16">
        <f t="shared" si="3"/>
        <v>0.18835125683019166</v>
      </c>
      <c r="O8" s="23">
        <v>201100</v>
      </c>
      <c r="Q8" s="5">
        <v>1.1000000000000001</v>
      </c>
      <c r="R8" s="16">
        <f t="shared" si="4"/>
        <v>0.12869586828713794</v>
      </c>
      <c r="S8" s="23">
        <v>126350</v>
      </c>
      <c r="U8" s="8">
        <v>1.3</v>
      </c>
      <c r="V8" s="13">
        <f t="shared" si="5"/>
        <v>8.4084587418838619E-2</v>
      </c>
      <c r="W8" s="23">
        <v>84280</v>
      </c>
      <c r="Y8" s="5">
        <v>1.9</v>
      </c>
      <c r="Z8" s="16">
        <f t="shared" si="8"/>
        <v>6.3518863530507688E-2</v>
      </c>
      <c r="AA8" s="23">
        <v>61096</v>
      </c>
      <c r="AC8" s="8">
        <v>3</v>
      </c>
      <c r="AD8" s="13">
        <f t="shared" si="6"/>
        <v>4.2254406910668896E-2</v>
      </c>
      <c r="AE8" s="23">
        <v>41656</v>
      </c>
      <c r="AG8" s="5">
        <v>3</v>
      </c>
      <c r="AH8" s="16">
        <f t="shared" si="7"/>
        <v>2.6274826182372084E-2</v>
      </c>
      <c r="AI8" s="23">
        <v>26771</v>
      </c>
    </row>
    <row r="9" spans="1:35" x14ac:dyDescent="0.3">
      <c r="A9" s="8">
        <v>0.7</v>
      </c>
      <c r="B9" s="13">
        <f t="shared" si="0"/>
        <v>0.22560266231916173</v>
      </c>
      <c r="C9" s="20">
        <v>228050</v>
      </c>
      <c r="E9" s="8">
        <v>0.5</v>
      </c>
      <c r="F9" s="13">
        <f t="shared" si="1"/>
        <v>0.23741230296709623</v>
      </c>
      <c r="G9" s="8">
        <v>223546</v>
      </c>
      <c r="I9" s="5">
        <v>0.4</v>
      </c>
      <c r="J9" s="16">
        <f t="shared" si="2"/>
        <v>0.25292170703845818</v>
      </c>
      <c r="K9" s="23">
        <v>241780</v>
      </c>
      <c r="M9" s="5">
        <v>0.5</v>
      </c>
      <c r="N9" s="16">
        <f t="shared" si="3"/>
        <v>0.20823538006492545</v>
      </c>
      <c r="O9" s="23">
        <v>222330</v>
      </c>
      <c r="Q9" s="5">
        <v>0.6</v>
      </c>
      <c r="R9" s="16">
        <f t="shared" si="4"/>
        <v>0.19266184001988243</v>
      </c>
      <c r="S9" s="23">
        <v>189150</v>
      </c>
      <c r="U9" s="8">
        <v>0.7</v>
      </c>
      <c r="V9" s="13">
        <f t="shared" si="5"/>
        <v>0.17790055910065009</v>
      </c>
      <c r="W9" s="23">
        <v>178314</v>
      </c>
      <c r="Y9" s="5">
        <v>1</v>
      </c>
      <c r="Z9" s="16">
        <f t="shared" si="8"/>
        <v>0.12703772706101538</v>
      </c>
      <c r="AA9" s="23">
        <v>122192</v>
      </c>
      <c r="AC9" s="8">
        <v>1.3</v>
      </c>
      <c r="AD9" s="13">
        <f t="shared" si="6"/>
        <v>9.2960506695826298E-2</v>
      </c>
      <c r="AE9" s="23">
        <v>91644</v>
      </c>
      <c r="AG9" s="5">
        <v>1.5</v>
      </c>
      <c r="AH9" s="16">
        <f t="shared" si="7"/>
        <v>6.2961043651681647E-2</v>
      </c>
      <c r="AI9" s="23">
        <v>64150</v>
      </c>
    </row>
    <row r="10" spans="1:35" x14ac:dyDescent="0.3">
      <c r="A10" s="8">
        <v>1.3</v>
      </c>
      <c r="B10" s="13">
        <f t="shared" si="0"/>
        <v>0.11068429674886827</v>
      </c>
      <c r="C10" s="20">
        <v>111885</v>
      </c>
      <c r="E10" s="8">
        <v>0.9</v>
      </c>
      <c r="F10" s="13">
        <f t="shared" si="1"/>
        <v>0.17046625190899686</v>
      </c>
      <c r="G10" s="8">
        <v>160510</v>
      </c>
      <c r="I10" s="5">
        <v>0.6</v>
      </c>
      <c r="J10" s="16">
        <f t="shared" si="2"/>
        <v>0.20302150326168369</v>
      </c>
      <c r="K10" s="23">
        <v>194078</v>
      </c>
      <c r="M10" s="5">
        <v>0.5</v>
      </c>
      <c r="N10" s="16">
        <f t="shared" si="3"/>
        <v>0.20823538006492545</v>
      </c>
      <c r="O10" s="23">
        <v>222330</v>
      </c>
      <c r="Q10" s="5">
        <v>0.3</v>
      </c>
      <c r="R10" s="16">
        <f t="shared" si="4"/>
        <v>0.22156875527108127</v>
      </c>
      <c r="S10" s="23">
        <v>217530</v>
      </c>
      <c r="U10" s="8">
        <v>0.4</v>
      </c>
      <c r="V10" s="13">
        <f t="shared" si="5"/>
        <v>0.19469752295664874</v>
      </c>
      <c r="W10" s="23">
        <v>195150</v>
      </c>
      <c r="Y10" s="5">
        <v>0.5</v>
      </c>
      <c r="Z10" s="16">
        <f t="shared" si="8"/>
        <v>0.18021408610020626</v>
      </c>
      <c r="AA10" s="23">
        <v>173340</v>
      </c>
      <c r="AC10" s="8">
        <v>0.5</v>
      </c>
      <c r="AD10" s="13">
        <f t="shared" si="6"/>
        <v>0.15472217544870456</v>
      </c>
      <c r="AE10" s="23">
        <v>152531</v>
      </c>
      <c r="AG10" s="5">
        <v>1</v>
      </c>
      <c r="AH10" s="16">
        <f t="shared" si="7"/>
        <v>0.11796436100674856</v>
      </c>
      <c r="AI10" s="23">
        <v>120192</v>
      </c>
    </row>
    <row r="11" spans="1:35" x14ac:dyDescent="0.3">
      <c r="A11" s="8">
        <v>3</v>
      </c>
      <c r="B11" s="13">
        <f t="shared" si="0"/>
        <v>2.7575857102155814E-2</v>
      </c>
      <c r="C11" s="20">
        <v>27875</v>
      </c>
      <c r="E11" s="8">
        <v>1.7</v>
      </c>
      <c r="F11" s="13">
        <f t="shared" si="1"/>
        <v>7.5417855253962954E-2</v>
      </c>
      <c r="G11" s="8">
        <v>71013</v>
      </c>
      <c r="I11" s="5">
        <v>1.4</v>
      </c>
      <c r="J11" s="16">
        <f t="shared" si="2"/>
        <v>0.12143756773380979</v>
      </c>
      <c r="K11" s="23">
        <v>116088</v>
      </c>
      <c r="M11" s="5">
        <v>0.7</v>
      </c>
      <c r="N11" s="16">
        <f t="shared" si="3"/>
        <v>0.18835125683019166</v>
      </c>
      <c r="O11" s="23">
        <v>201100</v>
      </c>
      <c r="Q11" s="5">
        <v>0.6</v>
      </c>
      <c r="R11" s="16">
        <f t="shared" si="4"/>
        <v>0.19266184001988243</v>
      </c>
      <c r="S11" s="23">
        <v>189150</v>
      </c>
      <c r="U11" s="8">
        <v>0.4</v>
      </c>
      <c r="V11" s="13">
        <f t="shared" si="5"/>
        <v>0.19469752295664874</v>
      </c>
      <c r="W11" s="23">
        <v>195150</v>
      </c>
      <c r="Y11" s="5">
        <v>0.2</v>
      </c>
      <c r="Z11" s="16">
        <f t="shared" si="8"/>
        <v>0.20787934992348128</v>
      </c>
      <c r="AA11" s="23">
        <v>199950</v>
      </c>
      <c r="AC11" s="8">
        <v>0.3</v>
      </c>
      <c r="AD11" s="13">
        <f t="shared" si="6"/>
        <v>0.1955189392171939</v>
      </c>
      <c r="AE11" s="23">
        <v>192750</v>
      </c>
      <c r="AG11" s="5">
        <v>0.5</v>
      </c>
      <c r="AH11" s="16">
        <f t="shared" si="7"/>
        <v>0.16661464896887182</v>
      </c>
      <c r="AI11" s="23">
        <v>169761</v>
      </c>
    </row>
    <row r="12" spans="1:35" ht="15" thickBot="1" x14ac:dyDescent="0.35">
      <c r="A12" s="9">
        <v>13</v>
      </c>
      <c r="B12" s="14">
        <f t="shared" si="0"/>
        <v>3.6504004558548862E-3</v>
      </c>
      <c r="C12" s="21">
        <v>3690</v>
      </c>
      <c r="E12" s="8">
        <v>4</v>
      </c>
      <c r="F12" s="13">
        <f t="shared" si="1"/>
        <v>1.5429155241006208E-2</v>
      </c>
      <c r="G12" s="8">
        <v>14528</v>
      </c>
      <c r="I12" s="5">
        <v>2</v>
      </c>
      <c r="J12" s="16">
        <f t="shared" si="2"/>
        <v>3.8752107855238985E-2</v>
      </c>
      <c r="K12" s="23">
        <v>37045</v>
      </c>
      <c r="M12" s="5">
        <v>1.8</v>
      </c>
      <c r="N12" s="16">
        <f t="shared" si="3"/>
        <v>7.5308658163542458E-2</v>
      </c>
      <c r="O12" s="23">
        <v>80406</v>
      </c>
      <c r="Q12" s="5">
        <v>1.1000000000000001</v>
      </c>
      <c r="R12" s="16">
        <f t="shared" si="4"/>
        <v>0.12869586828713794</v>
      </c>
      <c r="S12" s="23">
        <v>126350</v>
      </c>
      <c r="U12" s="8">
        <v>0.7</v>
      </c>
      <c r="V12" s="13">
        <f t="shared" si="5"/>
        <v>0.17790055910065009</v>
      </c>
      <c r="W12" s="23">
        <v>178314</v>
      </c>
      <c r="Y12" s="5">
        <v>0.5</v>
      </c>
      <c r="Z12" s="16">
        <f t="shared" si="8"/>
        <v>0.18011012043382793</v>
      </c>
      <c r="AA12" s="23">
        <v>173240</v>
      </c>
      <c r="AC12" s="8">
        <v>0.3</v>
      </c>
      <c r="AD12" s="13">
        <f t="shared" si="6"/>
        <v>0.1955189392171939</v>
      </c>
      <c r="AE12" s="23">
        <v>192750</v>
      </c>
      <c r="AG12" s="5">
        <v>0.3</v>
      </c>
      <c r="AH12" s="16">
        <f t="shared" si="7"/>
        <v>0.22995748289304768</v>
      </c>
      <c r="AI12" s="23">
        <v>234300</v>
      </c>
    </row>
    <row r="13" spans="1:35" ht="15" thickBot="1" x14ac:dyDescent="0.35">
      <c r="E13" s="9">
        <v>18</v>
      </c>
      <c r="F13" s="14">
        <f t="shared" si="1"/>
        <v>1.2744346289377375E-3</v>
      </c>
      <c r="G13" s="9">
        <v>1200</v>
      </c>
      <c r="I13" s="5">
        <v>5</v>
      </c>
      <c r="J13" s="16">
        <f t="shared" si="2"/>
        <v>9.5360835526618597E-3</v>
      </c>
      <c r="K13" s="23">
        <v>9116</v>
      </c>
      <c r="M13" s="5">
        <v>3</v>
      </c>
      <c r="N13" s="16">
        <f t="shared" si="3"/>
        <v>2.2665839956691386E-2</v>
      </c>
      <c r="O13" s="23">
        <v>24200</v>
      </c>
      <c r="Q13" s="5">
        <v>2</v>
      </c>
      <c r="R13" s="16">
        <f t="shared" si="4"/>
        <v>5.1143238959758475E-2</v>
      </c>
      <c r="S13" s="23">
        <v>50211</v>
      </c>
      <c r="U13" s="8">
        <v>1.3</v>
      </c>
      <c r="V13" s="13">
        <f t="shared" si="5"/>
        <v>8.4084587418838619E-2</v>
      </c>
      <c r="W13" s="23">
        <v>84280</v>
      </c>
      <c r="Y13" s="5">
        <v>1</v>
      </c>
      <c r="Z13" s="16">
        <f t="shared" si="8"/>
        <v>0.12703772706101538</v>
      </c>
      <c r="AA13" s="23">
        <v>122192</v>
      </c>
      <c r="AC13" s="8">
        <v>0.5</v>
      </c>
      <c r="AD13" s="13">
        <f t="shared" si="6"/>
        <v>0.15472217544870456</v>
      </c>
      <c r="AE13" s="23">
        <v>152531</v>
      </c>
      <c r="AG13" s="5">
        <v>0.5</v>
      </c>
      <c r="AH13" s="16">
        <f t="shared" si="7"/>
        <v>0.16661464896887182</v>
      </c>
      <c r="AI13" s="23">
        <v>169761</v>
      </c>
    </row>
    <row r="14" spans="1:35" ht="15" thickBot="1" x14ac:dyDescent="0.35">
      <c r="A14" t="s">
        <v>4</v>
      </c>
      <c r="B14" s="1">
        <f>SUMPRODUCT(A4:A12,C4:C12)/SUM(C4:C12)</f>
        <v>0.96997787995821327</v>
      </c>
      <c r="C14" s="1"/>
      <c r="I14" s="6">
        <v>22</v>
      </c>
      <c r="J14" s="17">
        <f t="shared" si="2"/>
        <v>7.9188407737659371E-4</v>
      </c>
      <c r="K14" s="24">
        <v>757</v>
      </c>
      <c r="M14" s="5">
        <v>6</v>
      </c>
      <c r="N14" s="16">
        <f t="shared" si="3"/>
        <v>4.7251720075003325E-3</v>
      </c>
      <c r="O14" s="23">
        <v>5045</v>
      </c>
      <c r="Q14" s="5">
        <v>4</v>
      </c>
      <c r="R14" s="16">
        <f t="shared" si="4"/>
        <v>1.3771018118259636E-2</v>
      </c>
      <c r="S14" s="23">
        <v>13520</v>
      </c>
      <c r="U14" s="8">
        <v>3</v>
      </c>
      <c r="V14" s="13">
        <f t="shared" si="5"/>
        <v>3.3633834967535449E-2</v>
      </c>
      <c r="W14" s="23">
        <v>33712</v>
      </c>
      <c r="Y14" s="5">
        <v>1.9</v>
      </c>
      <c r="Z14" s="16">
        <f t="shared" si="8"/>
        <v>6.3518863530507688E-2</v>
      </c>
      <c r="AA14" s="23">
        <v>61096</v>
      </c>
      <c r="AC14" s="8">
        <v>1.3</v>
      </c>
      <c r="AD14" s="13">
        <f t="shared" si="6"/>
        <v>9.2960506695826298E-2</v>
      </c>
      <c r="AE14" s="23">
        <v>91644</v>
      </c>
      <c r="AG14" s="5">
        <v>1</v>
      </c>
      <c r="AH14" s="16">
        <f t="shared" si="7"/>
        <v>0.11796436100674856</v>
      </c>
      <c r="AI14" s="23">
        <v>120192</v>
      </c>
    </row>
    <row r="15" spans="1:35" ht="15" thickBot="1" x14ac:dyDescent="0.35">
      <c r="E15" t="s">
        <v>4</v>
      </c>
      <c r="F15" s="1">
        <f>SUMPRODUCT(E4:E13,G4:G13)/SUM(G4:G13)</f>
        <v>0.96998515283657283</v>
      </c>
      <c r="M15" s="6">
        <v>24</v>
      </c>
      <c r="N15" s="17">
        <f t="shared" si="3"/>
        <v>7.1088316227804803E-4</v>
      </c>
      <c r="O15" s="24">
        <v>759</v>
      </c>
      <c r="Q15" s="5">
        <v>11</v>
      </c>
      <c r="R15" s="16">
        <f t="shared" si="4"/>
        <v>2.7093867007818516E-3</v>
      </c>
      <c r="S15" s="23">
        <v>2660</v>
      </c>
      <c r="U15" s="8">
        <v>6</v>
      </c>
      <c r="V15" s="13">
        <f t="shared" si="5"/>
        <v>8.1021705556287189E-3</v>
      </c>
      <c r="W15" s="23">
        <v>8121</v>
      </c>
      <c r="Y15" s="5">
        <v>4</v>
      </c>
      <c r="Z15" s="16">
        <f t="shared" si="8"/>
        <v>2.008200811763923E-2</v>
      </c>
      <c r="AA15" s="23">
        <v>19316</v>
      </c>
      <c r="AC15" s="8">
        <v>3</v>
      </c>
      <c r="AD15" s="13">
        <f t="shared" si="6"/>
        <v>4.2254406910668896E-2</v>
      </c>
      <c r="AE15" s="23">
        <v>41656</v>
      </c>
      <c r="AG15" s="5">
        <v>1.5</v>
      </c>
      <c r="AH15" s="16">
        <f t="shared" si="7"/>
        <v>6.2961043651681647E-2</v>
      </c>
      <c r="AI15" s="23">
        <v>64150</v>
      </c>
    </row>
    <row r="16" spans="1:35" ht="15" thickBot="1" x14ac:dyDescent="0.35">
      <c r="B16" s="25"/>
      <c r="I16" t="s">
        <v>4</v>
      </c>
      <c r="J16" s="1">
        <f>SUMPRODUCT(I4:I14,J4:J14)</f>
        <v>0.97003184273621579</v>
      </c>
      <c r="K16" s="1"/>
      <c r="Q16" s="6">
        <v>33</v>
      </c>
      <c r="R16" s="17">
        <f t="shared" si="4"/>
        <v>2.2408461435037869E-4</v>
      </c>
      <c r="S16" s="24">
        <v>220</v>
      </c>
      <c r="U16" s="8">
        <v>13</v>
      </c>
      <c r="V16" s="13">
        <f t="shared" si="5"/>
        <v>1.4735754107454277E-3</v>
      </c>
      <c r="W16" s="23">
        <v>1477</v>
      </c>
      <c r="Y16" s="5">
        <v>7</v>
      </c>
      <c r="Z16" s="16">
        <f t="shared" si="8"/>
        <v>4.5786479473018827E-3</v>
      </c>
      <c r="AA16" s="23">
        <v>4404</v>
      </c>
      <c r="AC16" s="8">
        <v>5</v>
      </c>
      <c r="AD16" s="13">
        <f t="shared" si="6"/>
        <v>1.0939931307172173E-2</v>
      </c>
      <c r="AE16" s="23">
        <v>10785</v>
      </c>
      <c r="AG16" s="5">
        <v>3</v>
      </c>
      <c r="AH16" s="16">
        <f t="shared" si="7"/>
        <v>2.6274826182372084E-2</v>
      </c>
      <c r="AI16" s="23">
        <v>26771</v>
      </c>
    </row>
    <row r="17" spans="2:35" ht="15" thickBot="1" x14ac:dyDescent="0.35">
      <c r="F17" s="28"/>
      <c r="M17" t="s">
        <v>4</v>
      </c>
      <c r="N17" s="1">
        <f>SUMPRODUCT(M4:M15,O4:O15)/SUM(O4:O15)</f>
        <v>0.9699926757492372</v>
      </c>
      <c r="O17" s="1"/>
      <c r="U17" s="9">
        <v>43</v>
      </c>
      <c r="V17" s="14">
        <f t="shared" si="5"/>
        <v>1.0774958995294934E-4</v>
      </c>
      <c r="W17" s="24">
        <v>108</v>
      </c>
      <c r="Y17" s="5">
        <v>15</v>
      </c>
      <c r="Z17" s="16">
        <f t="shared" si="8"/>
        <v>5.9260429835651077E-4</v>
      </c>
      <c r="AA17" s="23">
        <v>570</v>
      </c>
      <c r="AC17" s="8">
        <v>11</v>
      </c>
      <c r="AD17" s="13">
        <f t="shared" si="6"/>
        <v>3.0978720641728153E-3</v>
      </c>
      <c r="AE17" s="23">
        <v>3054</v>
      </c>
      <c r="AG17" s="5">
        <v>5</v>
      </c>
      <c r="AH17" s="16">
        <f t="shared" si="7"/>
        <v>9.3926295829554682E-3</v>
      </c>
      <c r="AI17" s="23">
        <v>9570</v>
      </c>
    </row>
    <row r="18" spans="2:35" ht="15" thickBot="1" x14ac:dyDescent="0.35">
      <c r="J18" s="28"/>
      <c r="Q18" t="s">
        <v>4</v>
      </c>
      <c r="R18" s="1">
        <f>SUMPRODUCT(Q4:Q16,S4:S16)/SUM(S4:S16)</f>
        <v>0.97001442290063278</v>
      </c>
      <c r="S18" s="1"/>
      <c r="Y18" s="6">
        <v>58</v>
      </c>
      <c r="Z18" s="17">
        <f t="shared" si="8"/>
        <v>8.8370816421584942E-5</v>
      </c>
      <c r="AA18" s="24">
        <v>85</v>
      </c>
      <c r="AC18" s="8">
        <v>18</v>
      </c>
      <c r="AD18" s="13">
        <f t="shared" si="6"/>
        <v>4.5646444953430481E-4</v>
      </c>
      <c r="AE18" s="23">
        <v>450</v>
      </c>
      <c r="AG18" s="5">
        <v>10</v>
      </c>
      <c r="AH18" s="16">
        <f t="shared" si="7"/>
        <v>1.5065503040581655E-3</v>
      </c>
      <c r="AI18" s="23">
        <v>1535</v>
      </c>
    </row>
    <row r="19" spans="2:35" ht="15" thickBot="1" x14ac:dyDescent="0.35">
      <c r="F19" s="27"/>
      <c r="N19" s="28"/>
      <c r="U19" t="s">
        <v>4</v>
      </c>
      <c r="V19" s="1">
        <f>SUMPRODUCT(U4:U17,V4:V17)</f>
        <v>0.97004721028330154</v>
      </c>
      <c r="W19" s="1"/>
      <c r="AC19" s="9">
        <v>88</v>
      </c>
      <c r="AD19" s="14">
        <f t="shared" si="6"/>
        <v>4.9703906727068748E-5</v>
      </c>
      <c r="AE19" s="24">
        <v>49</v>
      </c>
      <c r="AG19" s="5">
        <v>41</v>
      </c>
      <c r="AH19" s="16">
        <f t="shared" si="7"/>
        <v>2.8756953686582577E-4</v>
      </c>
      <c r="AI19" s="23">
        <v>293</v>
      </c>
    </row>
    <row r="20" spans="2:35" ht="15" thickBot="1" x14ac:dyDescent="0.35">
      <c r="B20" s="26"/>
      <c r="Y20" t="s">
        <v>4</v>
      </c>
      <c r="Z20" s="1">
        <f>SUMPRODUCT(Y4:Y18,Z4:Z18)</f>
        <v>0.96997138864861254</v>
      </c>
      <c r="AA20" s="1"/>
      <c r="AG20" s="6">
        <v>110</v>
      </c>
      <c r="AH20" s="17">
        <f t="shared" si="7"/>
        <v>1.9629319922581961E-5</v>
      </c>
      <c r="AI20" s="24">
        <v>20</v>
      </c>
    </row>
    <row r="21" spans="2:35" x14ac:dyDescent="0.3">
      <c r="V21" s="28"/>
      <c r="AC21" t="s">
        <v>4</v>
      </c>
      <c r="AD21" s="1">
        <f>SUMPRODUCT(AC4:AC19,AD4:AD19)</f>
        <v>0.96999040410290538</v>
      </c>
      <c r="AE21" s="1"/>
    </row>
    <row r="22" spans="2:35" x14ac:dyDescent="0.3">
      <c r="AG22" t="s">
        <v>4</v>
      </c>
      <c r="AH22" s="1">
        <f>SUMPRODUCT(AG4:AG20,AH4:AH20)</f>
        <v>0.97001915821624429</v>
      </c>
    </row>
    <row r="23" spans="2:35" x14ac:dyDescent="0.3">
      <c r="AD23" s="28"/>
    </row>
    <row r="24" spans="2:35" x14ac:dyDescent="0.3">
      <c r="AH24" s="2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F018-F412-4395-993F-646D1CD0CF5F}">
  <dimension ref="A2:AI24"/>
  <sheetViews>
    <sheetView workbookViewId="0">
      <selection activeCell="AI13" sqref="AI13"/>
    </sheetView>
  </sheetViews>
  <sheetFormatPr defaultRowHeight="14.4" x14ac:dyDescent="0.3"/>
  <cols>
    <col min="2" max="2" width="10.44140625" customWidth="1"/>
    <col min="3" max="3" width="12.21875" customWidth="1"/>
    <col min="6" max="6" width="11" customWidth="1"/>
    <col min="10" max="10" width="9.6640625" bestFit="1" customWidth="1"/>
    <col min="11" max="11" width="9.6640625" customWidth="1"/>
    <col min="14" max="15" width="10.33203125" customWidth="1"/>
    <col min="18" max="18" width="9.6640625" bestFit="1" customWidth="1"/>
    <col min="19" max="19" width="9.6640625" customWidth="1"/>
    <col min="22" max="22" width="10.88671875" customWidth="1"/>
    <col min="23" max="23" width="9.44140625" customWidth="1"/>
    <col min="26" max="27" width="10.109375" customWidth="1"/>
    <col min="30" max="31" width="9.5546875" customWidth="1"/>
    <col min="34" max="34" width="10.109375" customWidth="1"/>
    <col min="35" max="35" width="10" bestFit="1" customWidth="1"/>
  </cols>
  <sheetData>
    <row r="2" spans="1:35" ht="15" thickBot="1" x14ac:dyDescent="0.35">
      <c r="A2" s="2" t="s">
        <v>0</v>
      </c>
      <c r="E2" s="2" t="s">
        <v>5</v>
      </c>
      <c r="I2" s="2" t="s">
        <v>6</v>
      </c>
      <c r="M2" s="2" t="s">
        <v>7</v>
      </c>
      <c r="Q2" s="2" t="s">
        <v>8</v>
      </c>
      <c r="U2" s="2" t="s">
        <v>9</v>
      </c>
      <c r="Y2" s="2" t="s">
        <v>10</v>
      </c>
      <c r="AC2" s="2" t="s">
        <v>11</v>
      </c>
      <c r="AG2" s="2" t="s">
        <v>12</v>
      </c>
    </row>
    <row r="3" spans="1:35" ht="15" thickBot="1" x14ac:dyDescent="0.35">
      <c r="A3" s="10" t="s">
        <v>1</v>
      </c>
      <c r="B3" s="11" t="s">
        <v>2</v>
      </c>
      <c r="C3" s="10" t="s">
        <v>3</v>
      </c>
      <c r="E3" s="3" t="s">
        <v>1</v>
      </c>
      <c r="F3" s="10" t="s">
        <v>2</v>
      </c>
      <c r="G3" s="10" t="s">
        <v>3</v>
      </c>
      <c r="I3" s="12" t="s">
        <v>1</v>
      </c>
      <c r="J3" s="10" t="s">
        <v>2</v>
      </c>
      <c r="K3" s="7" t="s">
        <v>3</v>
      </c>
      <c r="M3" s="10" t="s">
        <v>1</v>
      </c>
      <c r="N3" s="10" t="s">
        <v>2</v>
      </c>
      <c r="O3" s="7" t="s">
        <v>3</v>
      </c>
      <c r="Q3" s="12" t="s">
        <v>1</v>
      </c>
      <c r="R3" s="11" t="s">
        <v>2</v>
      </c>
      <c r="S3" s="7" t="s">
        <v>3</v>
      </c>
      <c r="U3" s="3" t="s">
        <v>1</v>
      </c>
      <c r="V3" s="10" t="s">
        <v>2</v>
      </c>
      <c r="W3" s="7" t="s">
        <v>3</v>
      </c>
      <c r="Y3" s="10" t="s">
        <v>1</v>
      </c>
      <c r="Z3" s="4" t="s">
        <v>2</v>
      </c>
      <c r="AA3" s="7" t="s">
        <v>3</v>
      </c>
      <c r="AC3" s="10" t="s">
        <v>1</v>
      </c>
      <c r="AD3" s="10" t="s">
        <v>2</v>
      </c>
      <c r="AE3" s="4" t="s">
        <v>3</v>
      </c>
      <c r="AG3" s="10" t="s">
        <v>1</v>
      </c>
      <c r="AH3" s="4" t="s">
        <v>2</v>
      </c>
      <c r="AI3" s="4" t="s">
        <v>3</v>
      </c>
    </row>
    <row r="4" spans="1:35" x14ac:dyDescent="0.3">
      <c r="A4" s="8">
        <v>29</v>
      </c>
      <c r="B4" s="13">
        <f>C4/SUM($C$4:$C$12)</f>
        <v>3.8509761776822499E-3</v>
      </c>
      <c r="C4" s="19">
        <v>3870</v>
      </c>
      <c r="E4" s="7">
        <v>43</v>
      </c>
      <c r="F4" s="29">
        <f>G4/SUM($G$4:$G$13)</f>
        <v>1.8486723896985425E-3</v>
      </c>
      <c r="G4" s="19">
        <v>1852</v>
      </c>
      <c r="H4" s="18"/>
      <c r="I4" s="5">
        <v>76</v>
      </c>
      <c r="J4" s="16">
        <f>K4/SUM($K$4:$K$14)</f>
        <v>9.0029615004935833E-4</v>
      </c>
      <c r="K4" s="19">
        <v>912</v>
      </c>
      <c r="M4" s="5">
        <v>120</v>
      </c>
      <c r="N4" s="16">
        <f>O4/SUM($O$4:$O$15)</f>
        <v>4.5865677677717171E-4</v>
      </c>
      <c r="O4" s="22">
        <v>465</v>
      </c>
      <c r="Q4" s="5">
        <v>170</v>
      </c>
      <c r="R4" s="15">
        <f>S4/SUM($S$4:$S$16)</f>
        <v>2.5430807662889216E-4</v>
      </c>
      <c r="S4" s="22">
        <v>260</v>
      </c>
      <c r="U4" s="7">
        <v>260</v>
      </c>
      <c r="V4" s="13">
        <f>W4/SUM($W$4:$W$17)</f>
        <v>1.2336589535019138E-4</v>
      </c>
      <c r="W4" s="22">
        <v>125</v>
      </c>
      <c r="Y4" s="5">
        <v>420</v>
      </c>
      <c r="Z4" s="15">
        <f>AA4/SUM($AA$4:$AA$18)</f>
        <v>8.3909180651530111E-5</v>
      </c>
      <c r="AA4" s="22">
        <v>85</v>
      </c>
      <c r="AC4" s="7">
        <v>620</v>
      </c>
      <c r="AD4" s="13">
        <f>AE4/SUM($AE$4:$AE$19)</f>
        <v>4.4291338582677167E-5</v>
      </c>
      <c r="AE4" s="22">
        <v>45</v>
      </c>
      <c r="AG4" s="5">
        <v>1000</v>
      </c>
      <c r="AH4" s="15">
        <f>AI4/SUM($AI$4:$AI$20)</f>
        <v>1.271528568068103E-5</v>
      </c>
      <c r="AI4" s="22">
        <v>12</v>
      </c>
    </row>
    <row r="5" spans="1:35" x14ac:dyDescent="0.3">
      <c r="A5" s="8">
        <v>4</v>
      </c>
      <c r="B5" s="13">
        <f t="shared" ref="B5:B12" si="0">C5/SUM($C$4:$C$12)</f>
        <v>2.8643501104543556E-2</v>
      </c>
      <c r="C5" s="20">
        <v>28785</v>
      </c>
      <c r="E5" s="8">
        <v>7</v>
      </c>
      <c r="F5" s="29">
        <f t="shared" ref="F5:F13" si="1">G5/SUM($G$4:$G$13)</f>
        <v>1.6819724495907368E-2</v>
      </c>
      <c r="G5" s="31">
        <v>16850</v>
      </c>
      <c r="I5" s="5">
        <v>10</v>
      </c>
      <c r="J5" s="16">
        <f t="shared" ref="J5:J14" si="2">K5/SUM($K$4:$K$14)</f>
        <v>9.5557749259624885E-3</v>
      </c>
      <c r="K5" s="20">
        <v>9680</v>
      </c>
      <c r="M5" s="5">
        <v>14</v>
      </c>
      <c r="N5" s="16">
        <f t="shared" ref="N5:N15" si="3">O5/SUM($O$4:$O$15)</f>
        <v>5.1103242160914549E-3</v>
      </c>
      <c r="O5" s="23">
        <v>5181</v>
      </c>
      <c r="Q5" s="5">
        <v>24</v>
      </c>
      <c r="R5" s="16">
        <f t="shared" ref="R5:R16" si="4">S5/SUM($S$4:$S$16)</f>
        <v>2.6017672455109736E-3</v>
      </c>
      <c r="S5" s="23">
        <v>2660</v>
      </c>
      <c r="U5" s="8">
        <v>37</v>
      </c>
      <c r="V5" s="13">
        <f t="shared" ref="V5:V17" si="5">W5/SUM($W$4:$W$17)</f>
        <v>1.5366455924819837E-3</v>
      </c>
      <c r="W5" s="23">
        <v>1557</v>
      </c>
      <c r="Y5" s="5">
        <v>56</v>
      </c>
      <c r="Z5" s="16">
        <f>AA5/SUM($AA$4:$AA$18)</f>
        <v>6.4363277393879564E-4</v>
      </c>
      <c r="AA5" s="23">
        <v>652</v>
      </c>
      <c r="AC5" s="8">
        <v>83</v>
      </c>
      <c r="AD5" s="13">
        <f t="shared" ref="AD5:AD19" si="6">AE5/SUM($AE$4:$AE$19)</f>
        <v>4.1338582677165353E-4</v>
      </c>
      <c r="AE5" s="23">
        <v>420</v>
      </c>
      <c r="AG5" s="5">
        <v>130</v>
      </c>
      <c r="AH5" s="16">
        <f t="shared" ref="AH5:AH20" si="7">AI5/SUM($AI$4:$AI$20)</f>
        <v>2.1615985657157753E-4</v>
      </c>
      <c r="AI5" s="23">
        <v>204</v>
      </c>
    </row>
    <row r="6" spans="1:35" x14ac:dyDescent="0.3">
      <c r="A6" s="8">
        <v>1.5</v>
      </c>
      <c r="B6" s="13">
        <f t="shared" si="0"/>
        <v>0.11043942921965491</v>
      </c>
      <c r="C6" s="20">
        <v>110985</v>
      </c>
      <c r="E6" s="8">
        <v>2</v>
      </c>
      <c r="F6" s="29">
        <f t="shared" si="1"/>
        <v>6.9887203034537826E-2</v>
      </c>
      <c r="G6" s="31">
        <v>70013</v>
      </c>
      <c r="I6" s="5">
        <v>3</v>
      </c>
      <c r="J6" s="16">
        <f t="shared" si="2"/>
        <v>4.3529121421520239E-2</v>
      </c>
      <c r="K6" s="20">
        <v>44095</v>
      </c>
      <c r="M6" s="5">
        <v>5.2</v>
      </c>
      <c r="N6" s="16">
        <f t="shared" si="3"/>
        <v>2.6306185455155204E-2</v>
      </c>
      <c r="O6" s="23">
        <v>26670</v>
      </c>
      <c r="Q6" s="5">
        <v>8.1</v>
      </c>
      <c r="R6" s="16">
        <f t="shared" si="4"/>
        <v>1.521936027825216E-2</v>
      </c>
      <c r="S6" s="23">
        <v>15560</v>
      </c>
      <c r="U6" s="8">
        <v>11</v>
      </c>
      <c r="V6" s="13">
        <f t="shared" si="5"/>
        <v>9.0017626519127633E-3</v>
      </c>
      <c r="W6" s="23">
        <v>9121</v>
      </c>
      <c r="Y6" s="5">
        <v>18</v>
      </c>
      <c r="Z6" s="16">
        <f t="shared" ref="Z6:Z18" si="8">AA6/SUM($AA$4:$AA$18)</f>
        <v>5.2862783810463969E-3</v>
      </c>
      <c r="AA6" s="23">
        <v>5355</v>
      </c>
      <c r="AC6" s="8">
        <v>27</v>
      </c>
      <c r="AD6" s="13">
        <f t="shared" si="6"/>
        <v>2.8759842519685041E-3</v>
      </c>
      <c r="AE6" s="23">
        <v>2922</v>
      </c>
      <c r="AG6" s="5">
        <v>26</v>
      </c>
      <c r="AH6" s="16">
        <f t="shared" si="7"/>
        <v>1.1994752825442438E-3</v>
      </c>
      <c r="AI6" s="23">
        <v>1132</v>
      </c>
    </row>
    <row r="7" spans="1:35" x14ac:dyDescent="0.3">
      <c r="A7" s="8">
        <v>0.3</v>
      </c>
      <c r="B7" s="13">
        <f t="shared" si="0"/>
        <v>0.21667960276235398</v>
      </c>
      <c r="C7" s="20">
        <v>217750</v>
      </c>
      <c r="E7" s="8">
        <v>0.6</v>
      </c>
      <c r="F7" s="29">
        <f t="shared" si="1"/>
        <v>0.16431722898782192</v>
      </c>
      <c r="G7" s="31">
        <v>164613</v>
      </c>
      <c r="I7" s="5">
        <v>0.9</v>
      </c>
      <c r="J7" s="16">
        <f t="shared" si="2"/>
        <v>0.11568410661401776</v>
      </c>
      <c r="K7" s="20">
        <v>117188</v>
      </c>
      <c r="M7" s="5">
        <v>1.4</v>
      </c>
      <c r="N7" s="16">
        <f t="shared" si="3"/>
        <v>7.9466971780278742E-2</v>
      </c>
      <c r="O7" s="23">
        <v>80566</v>
      </c>
      <c r="Q7" s="5">
        <v>2</v>
      </c>
      <c r="R7" s="16">
        <f t="shared" si="4"/>
        <v>5.3122022883814464E-2</v>
      </c>
      <c r="S7" s="23">
        <v>54311</v>
      </c>
      <c r="U7" s="8">
        <v>4</v>
      </c>
      <c r="V7" s="13">
        <f t="shared" si="5"/>
        <v>3.4285849635725181E-2</v>
      </c>
      <c r="W7" s="23">
        <v>34740</v>
      </c>
      <c r="Y7" s="5">
        <v>5</v>
      </c>
      <c r="Z7" s="16">
        <f t="shared" si="8"/>
        <v>2.1912142152023691E-2</v>
      </c>
      <c r="AA7" s="23">
        <v>22197</v>
      </c>
      <c r="AC7" s="8">
        <v>8</v>
      </c>
      <c r="AD7" s="13">
        <f t="shared" si="6"/>
        <v>1.3587598425196851E-2</v>
      </c>
      <c r="AE7" s="23">
        <v>13805</v>
      </c>
      <c r="AG7" s="5">
        <v>9</v>
      </c>
      <c r="AH7" s="16">
        <f t="shared" si="7"/>
        <v>9.1338135472892063E-3</v>
      </c>
      <c r="AI7" s="23">
        <v>8620</v>
      </c>
    </row>
    <row r="8" spans="1:35" x14ac:dyDescent="0.3">
      <c r="A8" s="8">
        <v>0.2</v>
      </c>
      <c r="B8" s="13">
        <f t="shared" si="0"/>
        <v>0.28077298147153062</v>
      </c>
      <c r="C8" s="20">
        <v>282160</v>
      </c>
      <c r="E8" s="8">
        <v>0.2</v>
      </c>
      <c r="F8" s="29">
        <f t="shared" si="1"/>
        <v>0.24712717109203433</v>
      </c>
      <c r="G8" s="31">
        <v>247572</v>
      </c>
      <c r="I8" s="5">
        <v>0.3</v>
      </c>
      <c r="J8" s="16">
        <f t="shared" si="2"/>
        <v>0.20253504442250742</v>
      </c>
      <c r="K8" s="20">
        <v>205168</v>
      </c>
      <c r="M8" s="5">
        <v>0.4</v>
      </c>
      <c r="N8" s="16">
        <f t="shared" si="3"/>
        <v>0.1630776362901078</v>
      </c>
      <c r="O8" s="23">
        <v>165333</v>
      </c>
      <c r="Q8" s="5">
        <v>0.7</v>
      </c>
      <c r="R8" s="16">
        <f t="shared" si="4"/>
        <v>0.12808324090212855</v>
      </c>
      <c r="S8" s="23">
        <v>130950</v>
      </c>
      <c r="U8" s="8">
        <v>1</v>
      </c>
      <c r="V8" s="13">
        <f t="shared" si="5"/>
        <v>8.6139002769317616E-2</v>
      </c>
      <c r="W8" s="23">
        <v>87280</v>
      </c>
      <c r="Y8" s="5">
        <v>1.9</v>
      </c>
      <c r="Z8" s="16">
        <f t="shared" si="8"/>
        <v>6.0311944718657452E-2</v>
      </c>
      <c r="AA8" s="23">
        <v>61096</v>
      </c>
      <c r="AC8" s="8">
        <v>3</v>
      </c>
      <c r="AD8" s="13">
        <f t="shared" si="6"/>
        <v>4.001574803149606E-2</v>
      </c>
      <c r="AE8" s="23">
        <v>40656</v>
      </c>
      <c r="AG8" s="5">
        <v>4</v>
      </c>
      <c r="AH8" s="16">
        <f t="shared" si="7"/>
        <v>3.2604111699546273E-2</v>
      </c>
      <c r="AI8" s="23">
        <v>30770</v>
      </c>
    </row>
    <row r="9" spans="1:35" x14ac:dyDescent="0.3">
      <c r="A9" s="8">
        <v>0.3</v>
      </c>
      <c r="B9" s="13">
        <f t="shared" si="0"/>
        <v>0.21667960276235398</v>
      </c>
      <c r="C9" s="20">
        <v>217750</v>
      </c>
      <c r="E9" s="8">
        <v>0.2</v>
      </c>
      <c r="F9" s="29">
        <f t="shared" si="1"/>
        <v>0.24712717109203433</v>
      </c>
      <c r="G9" s="31">
        <v>247572</v>
      </c>
      <c r="I9" s="5">
        <v>0.2</v>
      </c>
      <c r="J9" s="16">
        <f t="shared" si="2"/>
        <v>0.25559131293188547</v>
      </c>
      <c r="K9" s="20">
        <v>258914</v>
      </c>
      <c r="M9" s="5">
        <v>0.2</v>
      </c>
      <c r="N9" s="16">
        <f t="shared" si="3"/>
        <v>0.22558022548158962</v>
      </c>
      <c r="O9" s="23">
        <v>228700</v>
      </c>
      <c r="Q9" s="5">
        <v>0.2</v>
      </c>
      <c r="R9" s="16">
        <f t="shared" si="4"/>
        <v>0.200023083348494</v>
      </c>
      <c r="S9" s="23">
        <v>204500</v>
      </c>
      <c r="U9" s="8">
        <v>0.2</v>
      </c>
      <c r="V9" s="13">
        <f t="shared" si="5"/>
        <v>0.18198936882060229</v>
      </c>
      <c r="W9" s="23">
        <v>184400</v>
      </c>
      <c r="Y9" s="5">
        <v>0.3</v>
      </c>
      <c r="Z9" s="16">
        <f t="shared" si="8"/>
        <v>0.1206238894373149</v>
      </c>
      <c r="AA9" s="23">
        <v>122192</v>
      </c>
      <c r="AC9" s="8">
        <v>0.5</v>
      </c>
      <c r="AD9" s="13">
        <f t="shared" si="6"/>
        <v>9.4135826771653539E-2</v>
      </c>
      <c r="AE9" s="23">
        <v>95642</v>
      </c>
      <c r="AG9" s="5">
        <v>2</v>
      </c>
      <c r="AH9" s="16">
        <f t="shared" si="7"/>
        <v>6.055654805424341E-2</v>
      </c>
      <c r="AI9" s="23">
        <v>57150</v>
      </c>
    </row>
    <row r="10" spans="1:35" x14ac:dyDescent="0.3">
      <c r="A10" s="8">
        <v>1.5</v>
      </c>
      <c r="B10" s="13">
        <f t="shared" si="0"/>
        <v>0.11043942921965491</v>
      </c>
      <c r="C10" s="20">
        <v>110985</v>
      </c>
      <c r="E10" s="8">
        <v>0.6</v>
      </c>
      <c r="F10" s="29">
        <f t="shared" si="1"/>
        <v>0.16431722898782192</v>
      </c>
      <c r="G10" s="31">
        <v>164613</v>
      </c>
      <c r="I10" s="5">
        <v>0.3</v>
      </c>
      <c r="J10" s="16">
        <f t="shared" si="2"/>
        <v>0.20253504442250742</v>
      </c>
      <c r="K10" s="20">
        <v>205168</v>
      </c>
      <c r="M10" s="5">
        <v>0.2</v>
      </c>
      <c r="N10" s="16">
        <f t="shared" si="3"/>
        <v>0.22558022548158962</v>
      </c>
      <c r="O10" s="23">
        <v>228700</v>
      </c>
      <c r="Q10" s="5">
        <v>0.2</v>
      </c>
      <c r="R10" s="16">
        <f t="shared" si="4"/>
        <v>0.20139243453034189</v>
      </c>
      <c r="S10" s="23">
        <v>205900</v>
      </c>
      <c r="U10" s="8">
        <v>0.2</v>
      </c>
      <c r="V10" s="13">
        <f t="shared" si="5"/>
        <v>0.18692400463460995</v>
      </c>
      <c r="W10" s="23">
        <v>189400</v>
      </c>
      <c r="Y10" s="5">
        <v>0.2</v>
      </c>
      <c r="Z10" s="16">
        <f t="shared" si="8"/>
        <v>0.1829111549851925</v>
      </c>
      <c r="AA10" s="23">
        <v>185289</v>
      </c>
      <c r="AC10" s="8">
        <v>0.2</v>
      </c>
      <c r="AD10" s="13">
        <f t="shared" si="6"/>
        <v>0.15328740157480314</v>
      </c>
      <c r="AE10" s="23">
        <v>155740</v>
      </c>
      <c r="AG10" s="5">
        <v>0.2</v>
      </c>
      <c r="AH10" s="16">
        <f t="shared" si="7"/>
        <v>0.15848543993828848</v>
      </c>
      <c r="AI10" s="23">
        <v>149570</v>
      </c>
    </row>
    <row r="11" spans="1:35" x14ac:dyDescent="0.3">
      <c r="A11" s="8">
        <v>4</v>
      </c>
      <c r="B11" s="13">
        <f t="shared" si="0"/>
        <v>2.8643501104543556E-2</v>
      </c>
      <c r="C11" s="20">
        <v>28785</v>
      </c>
      <c r="E11" s="8">
        <v>2</v>
      </c>
      <c r="F11" s="29">
        <f t="shared" si="1"/>
        <v>6.9887203034537826E-2</v>
      </c>
      <c r="G11" s="31">
        <v>70013</v>
      </c>
      <c r="I11" s="5">
        <v>0.9</v>
      </c>
      <c r="J11" s="16">
        <f t="shared" si="2"/>
        <v>0.11568410661401776</v>
      </c>
      <c r="K11" s="20">
        <v>117188</v>
      </c>
      <c r="M11" s="5">
        <v>0.4</v>
      </c>
      <c r="N11" s="16">
        <f t="shared" si="3"/>
        <v>0.1630776362901078</v>
      </c>
      <c r="O11" s="23">
        <v>165333</v>
      </c>
      <c r="Q11" s="5">
        <v>0.2</v>
      </c>
      <c r="R11" s="16">
        <f t="shared" si="4"/>
        <v>0.200023083348494</v>
      </c>
      <c r="S11" s="23">
        <v>204500</v>
      </c>
      <c r="U11" s="8">
        <v>0.2</v>
      </c>
      <c r="V11" s="13">
        <f t="shared" si="5"/>
        <v>0.18692400463460995</v>
      </c>
      <c r="W11" s="23">
        <v>189400</v>
      </c>
      <c r="Y11" s="5">
        <v>0.2</v>
      </c>
      <c r="Z11" s="16">
        <f t="shared" si="8"/>
        <v>0.21645409674234944</v>
      </c>
      <c r="AA11" s="23">
        <v>219268</v>
      </c>
      <c r="AC11" s="8">
        <v>0.2</v>
      </c>
      <c r="AD11" s="13">
        <f t="shared" si="6"/>
        <v>0.19563976377952755</v>
      </c>
      <c r="AE11" s="23">
        <v>198770</v>
      </c>
      <c r="AG11" s="5">
        <v>0.2</v>
      </c>
      <c r="AH11" s="16">
        <f t="shared" si="7"/>
        <v>0.15848543993828848</v>
      </c>
      <c r="AI11" s="23">
        <v>149570</v>
      </c>
    </row>
    <row r="12" spans="1:35" ht="15" thickBot="1" x14ac:dyDescent="0.35">
      <c r="A12" s="9">
        <v>29</v>
      </c>
      <c r="B12" s="14">
        <f t="shared" si="0"/>
        <v>3.8509761776822499E-3</v>
      </c>
      <c r="C12" s="21">
        <v>3870</v>
      </c>
      <c r="E12" s="8">
        <v>7</v>
      </c>
      <c r="F12" s="29">
        <f t="shared" si="1"/>
        <v>1.6819724495907368E-2</v>
      </c>
      <c r="G12" s="31">
        <v>16850</v>
      </c>
      <c r="I12" s="5">
        <v>3</v>
      </c>
      <c r="J12" s="16">
        <f t="shared" si="2"/>
        <v>4.3529121421520239E-2</v>
      </c>
      <c r="K12" s="20">
        <v>44095</v>
      </c>
      <c r="M12" s="5">
        <v>1.4</v>
      </c>
      <c r="N12" s="16">
        <f t="shared" si="3"/>
        <v>7.9466971780278742E-2</v>
      </c>
      <c r="O12" s="23">
        <v>80566</v>
      </c>
      <c r="Q12" s="5">
        <v>0.7</v>
      </c>
      <c r="R12" s="16">
        <f t="shared" si="4"/>
        <v>0.12808324090212855</v>
      </c>
      <c r="S12" s="23">
        <v>130950</v>
      </c>
      <c r="U12" s="8">
        <v>0.2</v>
      </c>
      <c r="V12" s="13">
        <f t="shared" si="5"/>
        <v>0.18198936882060229</v>
      </c>
      <c r="W12" s="23">
        <v>184400</v>
      </c>
      <c r="Y12" s="5">
        <v>0.2</v>
      </c>
      <c r="Z12" s="16">
        <f t="shared" si="8"/>
        <v>0.1829111549851925</v>
      </c>
      <c r="AA12" s="23">
        <v>185289</v>
      </c>
      <c r="AC12" s="8">
        <v>0.2</v>
      </c>
      <c r="AD12" s="13">
        <f t="shared" si="6"/>
        <v>0.19563976377952755</v>
      </c>
      <c r="AE12" s="23">
        <v>198770</v>
      </c>
      <c r="AG12" s="5">
        <v>0.2</v>
      </c>
      <c r="AH12" s="16">
        <f t="shared" si="7"/>
        <v>0.15861259279509529</v>
      </c>
      <c r="AI12" s="23">
        <v>149690</v>
      </c>
    </row>
    <row r="13" spans="1:35" ht="15" thickBot="1" x14ac:dyDescent="0.35">
      <c r="E13" s="9">
        <v>43</v>
      </c>
      <c r="F13" s="30">
        <f t="shared" si="1"/>
        <v>1.8486723896985425E-3</v>
      </c>
      <c r="G13" s="32">
        <v>1852</v>
      </c>
      <c r="I13" s="5">
        <v>10</v>
      </c>
      <c r="J13" s="16">
        <f t="shared" si="2"/>
        <v>9.5557749259624885E-3</v>
      </c>
      <c r="K13" s="20">
        <v>9680</v>
      </c>
      <c r="M13" s="5">
        <v>5.2</v>
      </c>
      <c r="N13" s="16">
        <f t="shared" si="3"/>
        <v>2.6306185455155204E-2</v>
      </c>
      <c r="O13" s="23">
        <v>26670</v>
      </c>
      <c r="Q13" s="5">
        <v>2</v>
      </c>
      <c r="R13" s="16">
        <f t="shared" si="4"/>
        <v>5.3122022883814464E-2</v>
      </c>
      <c r="S13" s="23">
        <v>54311</v>
      </c>
      <c r="U13" s="8">
        <v>1</v>
      </c>
      <c r="V13" s="13">
        <f t="shared" si="5"/>
        <v>8.6139002769317616E-2</v>
      </c>
      <c r="W13" s="23">
        <v>87280</v>
      </c>
      <c r="Y13" s="5">
        <v>0.3</v>
      </c>
      <c r="Z13" s="16">
        <f t="shared" si="8"/>
        <v>0.1206238894373149</v>
      </c>
      <c r="AA13" s="23">
        <v>122192</v>
      </c>
      <c r="AC13" s="8">
        <v>0.2</v>
      </c>
      <c r="AD13" s="13">
        <f t="shared" si="6"/>
        <v>0.15328740157480314</v>
      </c>
      <c r="AE13" s="23">
        <v>155740</v>
      </c>
      <c r="AG13" s="5">
        <v>0.2</v>
      </c>
      <c r="AH13" s="16">
        <f t="shared" si="7"/>
        <v>0.15848543993828848</v>
      </c>
      <c r="AI13" s="23">
        <v>149570</v>
      </c>
    </row>
    <row r="14" spans="1:35" ht="15" thickBot="1" x14ac:dyDescent="0.35">
      <c r="A14" t="s">
        <v>4</v>
      </c>
      <c r="B14" s="1">
        <f>SUMPRODUCT(A4:A12,C4:C12)/SUM(C4:C12)</f>
        <v>0.96998527275260216</v>
      </c>
      <c r="C14" s="1"/>
      <c r="I14" s="6">
        <v>76</v>
      </c>
      <c r="J14" s="17">
        <f t="shared" si="2"/>
        <v>9.0029615004935833E-4</v>
      </c>
      <c r="K14" s="21">
        <v>912</v>
      </c>
      <c r="M14" s="5">
        <v>14</v>
      </c>
      <c r="N14" s="16">
        <f t="shared" si="3"/>
        <v>5.1103242160914549E-3</v>
      </c>
      <c r="O14" s="23">
        <v>5181</v>
      </c>
      <c r="Q14" s="5">
        <v>8.1</v>
      </c>
      <c r="R14" s="16">
        <f t="shared" si="4"/>
        <v>1.521936027825216E-2</v>
      </c>
      <c r="S14" s="23">
        <v>15560</v>
      </c>
      <c r="U14" s="8">
        <v>4</v>
      </c>
      <c r="V14" s="13">
        <f t="shared" si="5"/>
        <v>3.4285849635725181E-2</v>
      </c>
      <c r="W14" s="23">
        <v>34740</v>
      </c>
      <c r="Y14" s="5">
        <v>1.9</v>
      </c>
      <c r="Z14" s="16">
        <f t="shared" si="8"/>
        <v>6.0311944718657452E-2</v>
      </c>
      <c r="AA14" s="23">
        <v>61096</v>
      </c>
      <c r="AC14" s="8">
        <v>0.5</v>
      </c>
      <c r="AD14" s="13">
        <f t="shared" si="6"/>
        <v>9.4135826771653539E-2</v>
      </c>
      <c r="AE14" s="23">
        <v>95642</v>
      </c>
      <c r="AG14" s="5">
        <v>0.2</v>
      </c>
      <c r="AH14" s="16">
        <f t="shared" si="7"/>
        <v>0.15848543993828848</v>
      </c>
      <c r="AI14" s="23">
        <v>149570</v>
      </c>
    </row>
    <row r="15" spans="1:35" ht="15" thickBot="1" x14ac:dyDescent="0.35">
      <c r="E15" t="s">
        <v>4</v>
      </c>
      <c r="F15" s="1">
        <f>SUMPRODUCT(E4:E13,G4:G13)/SUM(G4:G13)</f>
        <v>0.97004232381712918</v>
      </c>
      <c r="M15" s="6">
        <v>120</v>
      </c>
      <c r="N15" s="17">
        <f t="shared" si="3"/>
        <v>4.5865677677717171E-4</v>
      </c>
      <c r="O15" s="24">
        <v>465</v>
      </c>
      <c r="Q15" s="5">
        <v>24</v>
      </c>
      <c r="R15" s="16">
        <f t="shared" si="4"/>
        <v>2.6017672455109736E-3</v>
      </c>
      <c r="S15" s="23">
        <v>2660</v>
      </c>
      <c r="U15" s="8">
        <v>11</v>
      </c>
      <c r="V15" s="13">
        <f t="shared" si="5"/>
        <v>9.0017626519127633E-3</v>
      </c>
      <c r="W15" s="23">
        <v>9121</v>
      </c>
      <c r="Y15" s="5">
        <v>5</v>
      </c>
      <c r="Z15" s="16">
        <f t="shared" si="8"/>
        <v>2.1912142152023691E-2</v>
      </c>
      <c r="AA15" s="23">
        <v>22197</v>
      </c>
      <c r="AC15" s="8">
        <v>3</v>
      </c>
      <c r="AD15" s="13">
        <f t="shared" si="6"/>
        <v>4.001574803149606E-2</v>
      </c>
      <c r="AE15" s="23">
        <v>40656</v>
      </c>
      <c r="AG15" s="5">
        <v>2</v>
      </c>
      <c r="AH15" s="16">
        <f t="shared" si="7"/>
        <v>6.055654805424341E-2</v>
      </c>
      <c r="AI15" s="23">
        <v>57150</v>
      </c>
    </row>
    <row r="16" spans="1:35" ht="15" thickBot="1" x14ac:dyDescent="0.35">
      <c r="B16" s="25"/>
      <c r="I16" t="s">
        <v>4</v>
      </c>
      <c r="J16" s="1">
        <f>SUMPRODUCT(I4:I14,J4:J14)</f>
        <v>0.9700059230009872</v>
      </c>
      <c r="K16" s="1"/>
      <c r="Q16" s="6">
        <v>170</v>
      </c>
      <c r="R16" s="17">
        <f t="shared" si="4"/>
        <v>2.5430807662889216E-4</v>
      </c>
      <c r="S16" s="24">
        <v>260</v>
      </c>
      <c r="U16" s="8">
        <v>37</v>
      </c>
      <c r="V16" s="13">
        <f t="shared" si="5"/>
        <v>1.5366455924819837E-3</v>
      </c>
      <c r="W16" s="23">
        <v>1557</v>
      </c>
      <c r="Y16" s="5">
        <v>18</v>
      </c>
      <c r="Z16" s="16">
        <f t="shared" si="8"/>
        <v>5.2862783810463969E-3</v>
      </c>
      <c r="AA16" s="23">
        <v>5355</v>
      </c>
      <c r="AC16" s="8">
        <v>8</v>
      </c>
      <c r="AD16" s="13">
        <f t="shared" si="6"/>
        <v>1.3587598425196851E-2</v>
      </c>
      <c r="AE16" s="23">
        <v>13805</v>
      </c>
      <c r="AG16" s="5">
        <v>4</v>
      </c>
      <c r="AH16" s="16">
        <f t="shared" si="7"/>
        <v>3.2604111699546273E-2</v>
      </c>
      <c r="AI16" s="23">
        <v>30770</v>
      </c>
    </row>
    <row r="17" spans="2:35" ht="15" thickBot="1" x14ac:dyDescent="0.35">
      <c r="F17" s="28"/>
      <c r="M17" t="s">
        <v>4</v>
      </c>
      <c r="N17" s="1">
        <f>SUMPRODUCT(M4:M15,O4:O15)/SUM(O4:O15)</f>
        <v>0.96995275342019871</v>
      </c>
      <c r="O17" s="1"/>
      <c r="U17" s="9">
        <v>260</v>
      </c>
      <c r="V17" s="14">
        <f t="shared" si="5"/>
        <v>1.2336589535019138E-4</v>
      </c>
      <c r="W17" s="24">
        <v>125</v>
      </c>
      <c r="Y17" s="5">
        <v>56</v>
      </c>
      <c r="Z17" s="16">
        <f t="shared" si="8"/>
        <v>6.4363277393879564E-4</v>
      </c>
      <c r="AA17" s="23">
        <v>652</v>
      </c>
      <c r="AC17" s="8">
        <v>27</v>
      </c>
      <c r="AD17" s="13">
        <f t="shared" si="6"/>
        <v>2.8759842519685041E-3</v>
      </c>
      <c r="AE17" s="23">
        <v>2922</v>
      </c>
      <c r="AG17" s="5">
        <v>9</v>
      </c>
      <c r="AH17" s="16">
        <f t="shared" si="7"/>
        <v>9.1338135472892063E-3</v>
      </c>
      <c r="AI17" s="23">
        <v>8620</v>
      </c>
    </row>
    <row r="18" spans="2:35" ht="15" thickBot="1" x14ac:dyDescent="0.35">
      <c r="J18" s="28"/>
      <c r="Q18" t="s">
        <v>4</v>
      </c>
      <c r="R18" s="1">
        <f>SUMPRODUCT(Q4:Q16,S4:S16)/SUM(S4:S16)</f>
        <v>0.96999555938973892</v>
      </c>
      <c r="S18" s="1"/>
      <c r="Y18" s="6">
        <v>420</v>
      </c>
      <c r="Z18" s="17">
        <f t="shared" si="8"/>
        <v>8.3909180651530111E-5</v>
      </c>
      <c r="AA18" s="24">
        <v>85</v>
      </c>
      <c r="AC18" s="8">
        <v>83</v>
      </c>
      <c r="AD18" s="13">
        <f t="shared" si="6"/>
        <v>4.1338582677165353E-4</v>
      </c>
      <c r="AE18" s="23">
        <v>420</v>
      </c>
      <c r="AG18" s="5">
        <v>26</v>
      </c>
      <c r="AH18" s="16">
        <f t="shared" si="7"/>
        <v>1.1994752825442438E-3</v>
      </c>
      <c r="AI18" s="23">
        <v>1132</v>
      </c>
    </row>
    <row r="19" spans="2:35" ht="15" thickBot="1" x14ac:dyDescent="0.35">
      <c r="F19" s="27"/>
      <c r="N19" s="28"/>
      <c r="U19" t="s">
        <v>4</v>
      </c>
      <c r="V19" s="1">
        <f>SUMPRODUCT(U4:U17,V4:V17)</f>
        <v>0.97003096977436865</v>
      </c>
      <c r="W19" s="1"/>
      <c r="AC19" s="9">
        <v>620</v>
      </c>
      <c r="AD19" s="14">
        <f t="shared" si="6"/>
        <v>4.4291338582677167E-5</v>
      </c>
      <c r="AE19" s="24">
        <v>45</v>
      </c>
      <c r="AG19" s="5">
        <v>130</v>
      </c>
      <c r="AH19" s="16">
        <f t="shared" si="7"/>
        <v>2.1615985657157753E-4</v>
      </c>
      <c r="AI19" s="23">
        <v>204</v>
      </c>
    </row>
    <row r="20" spans="2:35" ht="15" thickBot="1" x14ac:dyDescent="0.35">
      <c r="B20" s="26"/>
      <c r="Y20" t="s">
        <v>4</v>
      </c>
      <c r="Z20" s="1">
        <f>SUMPRODUCT(Y4:Y18,Z4:Z18)</f>
        <v>0.9700130306021717</v>
      </c>
      <c r="AA20" s="1"/>
      <c r="AG20" s="6">
        <v>1000</v>
      </c>
      <c r="AH20" s="17">
        <f t="shared" si="7"/>
        <v>1.271528568068103E-5</v>
      </c>
      <c r="AI20" s="24">
        <v>12</v>
      </c>
    </row>
    <row r="21" spans="2:35" x14ac:dyDescent="0.3">
      <c r="V21" s="28"/>
      <c r="AC21" t="s">
        <v>4</v>
      </c>
      <c r="AD21" s="1">
        <f>SUMPRODUCT(AC4:AC19,AD4:AD19)</f>
        <v>0.97004921259842525</v>
      </c>
      <c r="AE21" s="1"/>
    </row>
    <row r="22" spans="2:35" x14ac:dyDescent="0.3">
      <c r="AG22" t="s">
        <v>4</v>
      </c>
      <c r="AH22" s="1">
        <f>SUMPRODUCT(AG4:AG20,AH4:AH20)</f>
        <v>0.96998344893647237</v>
      </c>
    </row>
    <row r="23" spans="2:35" x14ac:dyDescent="0.3">
      <c r="AD23" s="28"/>
    </row>
    <row r="24" spans="2:35" x14ac:dyDescent="0.3">
      <c r="AH24" s="2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</vt:lpstr>
      <vt:lpstr>Medium</vt:lpstr>
      <vt:lpstr>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C Rim93</dc:creator>
  <cp:lastModifiedBy>Rimziiii</cp:lastModifiedBy>
  <dcterms:created xsi:type="dcterms:W3CDTF">2023-05-23T07:30:42Z</dcterms:created>
  <dcterms:modified xsi:type="dcterms:W3CDTF">2023-09-06T02:43:59Z</dcterms:modified>
</cp:coreProperties>
</file>