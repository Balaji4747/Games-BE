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FreeLance\Math\Fushen Chong\Crypto\"/>
    </mc:Choice>
  </mc:AlternateContent>
  <xr:revisionPtr revIDLastSave="0" documentId="13_ncr:1_{298EED9A-6AB1-4004-B849-A96819D21466}" xr6:coauthVersionLast="47" xr6:coauthVersionMax="47" xr10:uidLastSave="{00000000-0000-0000-0000-000000000000}"/>
  <bookViews>
    <workbookView xWindow="-108" yWindow="-108" windowWidth="23256" windowHeight="12456" xr2:uid="{B4F332A6-CCB5-4FF2-B02A-B6A73D912C9B}"/>
  </bookViews>
  <sheets>
    <sheet name="Low" sheetId="3" r:id="rId1"/>
    <sheet name="Medium" sheetId="1" r:id="rId2"/>
    <sheet name="High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8" i="2" l="1"/>
  <c r="F4" i="1"/>
  <c r="B14" i="2"/>
  <c r="Z13" i="2"/>
  <c r="V10" i="2"/>
  <c r="V16" i="3"/>
  <c r="R16" i="3"/>
  <c r="N14" i="3"/>
  <c r="J10" i="3"/>
  <c r="B4" i="2"/>
  <c r="B12" i="2"/>
  <c r="B11" i="2"/>
  <c r="B10" i="2"/>
  <c r="B9" i="2"/>
  <c r="B8" i="2"/>
  <c r="B7" i="2"/>
  <c r="B6" i="2"/>
  <c r="B5" i="2"/>
  <c r="B12" i="3"/>
  <c r="B11" i="3"/>
  <c r="B10" i="3"/>
  <c r="B9" i="3"/>
  <c r="B8" i="3"/>
  <c r="B7" i="3"/>
  <c r="B6" i="3"/>
  <c r="B5" i="3"/>
  <c r="B4" i="3"/>
  <c r="B12" i="1"/>
  <c r="B11" i="1"/>
  <c r="B10" i="1"/>
  <c r="B9" i="1"/>
  <c r="B8" i="1"/>
  <c r="B7" i="1"/>
  <c r="B6" i="1"/>
  <c r="B5" i="1"/>
  <c r="B4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AH16" i="3"/>
  <c r="F12" i="3"/>
  <c r="F6" i="3"/>
  <c r="F8" i="3"/>
  <c r="F7" i="3"/>
  <c r="R6" i="3"/>
  <c r="B14" i="3"/>
  <c r="AH18" i="2"/>
  <c r="N17" i="2"/>
  <c r="R16" i="2"/>
  <c r="AH15" i="2"/>
  <c r="R15" i="2"/>
  <c r="N15" i="2"/>
  <c r="R14" i="2"/>
  <c r="N14" i="2"/>
  <c r="J14" i="2"/>
  <c r="R13" i="2"/>
  <c r="N13" i="2"/>
  <c r="J13" i="2"/>
  <c r="F13" i="2"/>
  <c r="AH16" i="2"/>
  <c r="AH12" i="2"/>
  <c r="AD12" i="2"/>
  <c r="R12" i="2"/>
  <c r="N12" i="2"/>
  <c r="J12" i="2"/>
  <c r="F12" i="2"/>
  <c r="AD18" i="2"/>
  <c r="R11" i="2"/>
  <c r="N11" i="2"/>
  <c r="J11" i="2"/>
  <c r="R10" i="2"/>
  <c r="N10" i="2"/>
  <c r="J10" i="2"/>
  <c r="F10" i="2"/>
  <c r="AH9" i="2"/>
  <c r="R9" i="2"/>
  <c r="N9" i="2"/>
  <c r="J9" i="2"/>
  <c r="F9" i="2"/>
  <c r="AH8" i="2"/>
  <c r="AD8" i="2"/>
  <c r="R8" i="2"/>
  <c r="N8" i="2"/>
  <c r="J8" i="2"/>
  <c r="F6" i="2"/>
  <c r="F8" i="2"/>
  <c r="R7" i="2"/>
  <c r="N7" i="2"/>
  <c r="J7" i="2"/>
  <c r="F7" i="2"/>
  <c r="AH6" i="2"/>
  <c r="R6" i="2"/>
  <c r="N6" i="2"/>
  <c r="J6" i="2"/>
  <c r="AH5" i="2"/>
  <c r="R5" i="2"/>
  <c r="N5" i="2"/>
  <c r="J5" i="2"/>
  <c r="F5" i="2"/>
  <c r="AH4" i="2"/>
  <c r="R4" i="2"/>
  <c r="N4" i="2"/>
  <c r="J4" i="2"/>
  <c r="F4" i="2"/>
  <c r="AH19" i="1"/>
  <c r="AD11" i="1"/>
  <c r="Z4" i="1"/>
  <c r="V4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N17" i="1"/>
  <c r="R18" i="1"/>
  <c r="N15" i="1"/>
  <c r="N14" i="1"/>
  <c r="N13" i="1"/>
  <c r="N12" i="1"/>
  <c r="N11" i="1"/>
  <c r="N10" i="1"/>
  <c r="N9" i="1"/>
  <c r="N8" i="1"/>
  <c r="N7" i="1"/>
  <c r="N6" i="1"/>
  <c r="N5" i="1"/>
  <c r="N4" i="1"/>
  <c r="J14" i="1"/>
  <c r="J13" i="1"/>
  <c r="J12" i="1"/>
  <c r="J11" i="1"/>
  <c r="J10" i="1"/>
  <c r="J9" i="1"/>
  <c r="J8" i="1"/>
  <c r="J7" i="1"/>
  <c r="J6" i="1"/>
  <c r="J5" i="1"/>
  <c r="J4" i="1"/>
  <c r="F13" i="1"/>
  <c r="J16" i="1" l="1"/>
  <c r="Z5" i="2"/>
  <c r="Z16" i="2"/>
  <c r="Z11" i="2"/>
  <c r="Z15" i="2"/>
  <c r="Z7" i="2"/>
  <c r="Z6" i="2"/>
  <c r="Z10" i="2"/>
  <c r="Z4" i="2"/>
  <c r="Z14" i="2"/>
  <c r="Z9" i="2"/>
  <c r="V6" i="2"/>
  <c r="V11" i="2"/>
  <c r="V12" i="2"/>
  <c r="V4" i="2"/>
  <c r="V15" i="2"/>
  <c r="V9" i="2"/>
  <c r="V16" i="2"/>
  <c r="V8" i="2"/>
  <c r="V14" i="2"/>
  <c r="V7" i="2"/>
  <c r="V17" i="2"/>
  <c r="V13" i="2"/>
  <c r="V5" i="2"/>
  <c r="J16" i="2"/>
  <c r="AH15" i="3"/>
  <c r="AH18" i="3"/>
  <c r="AH8" i="3"/>
  <c r="AH12" i="3"/>
  <c r="AD18" i="3"/>
  <c r="AD8" i="3"/>
  <c r="AD12" i="3"/>
  <c r="V17" i="3"/>
  <c r="V6" i="3"/>
  <c r="V4" i="3"/>
  <c r="V9" i="3"/>
  <c r="V7" i="3"/>
  <c r="V12" i="3"/>
  <c r="V15" i="3"/>
  <c r="V11" i="3"/>
  <c r="V8" i="3"/>
  <c r="V13" i="3"/>
  <c r="V14" i="3"/>
  <c r="V10" i="3"/>
  <c r="V5" i="3"/>
  <c r="R10" i="3"/>
  <c r="R18" i="3"/>
  <c r="R5" i="3"/>
  <c r="R9" i="3"/>
  <c r="R4" i="3"/>
  <c r="R8" i="3"/>
  <c r="R12" i="3"/>
  <c r="R14" i="3"/>
  <c r="R11" i="3"/>
  <c r="R7" i="3"/>
  <c r="R15" i="3"/>
  <c r="R13" i="3"/>
  <c r="N17" i="3"/>
  <c r="N15" i="3"/>
  <c r="N12" i="3"/>
  <c r="N6" i="3"/>
  <c r="N9" i="3"/>
  <c r="N11" i="3"/>
  <c r="N8" i="3"/>
  <c r="N5" i="3"/>
  <c r="N10" i="3"/>
  <c r="N7" i="3"/>
  <c r="N13" i="3"/>
  <c r="N4" i="3"/>
  <c r="J5" i="3"/>
  <c r="J12" i="3"/>
  <c r="J14" i="3"/>
  <c r="J9" i="3"/>
  <c r="J13" i="3"/>
  <c r="J4" i="3"/>
  <c r="J8" i="3"/>
  <c r="J11" i="3"/>
  <c r="J7" i="3"/>
  <c r="J6" i="3"/>
  <c r="AD14" i="3"/>
  <c r="AH13" i="3"/>
  <c r="F9" i="3"/>
  <c r="AH9" i="3"/>
  <c r="AD10" i="3"/>
  <c r="F13" i="3"/>
  <c r="F15" i="3"/>
  <c r="AD17" i="3"/>
  <c r="AH19" i="3"/>
  <c r="AD4" i="3"/>
  <c r="AH4" i="3"/>
  <c r="AD5" i="3"/>
  <c r="AH10" i="3"/>
  <c r="AH17" i="3"/>
  <c r="AH14" i="3"/>
  <c r="AD11" i="3"/>
  <c r="AH20" i="3"/>
  <c r="AD9" i="3"/>
  <c r="AH5" i="3"/>
  <c r="F10" i="3"/>
  <c r="F5" i="3"/>
  <c r="AH6" i="3"/>
  <c r="AD7" i="3"/>
  <c r="F11" i="3"/>
  <c r="AD16" i="3"/>
  <c r="AD15" i="3"/>
  <c r="AD13" i="3"/>
  <c r="AD19" i="3"/>
  <c r="F4" i="3"/>
  <c r="AD6" i="3"/>
  <c r="AH7" i="3"/>
  <c r="AH11" i="3"/>
  <c r="AD9" i="2"/>
  <c r="AH13" i="2"/>
  <c r="AH14" i="2"/>
  <c r="Z17" i="2"/>
  <c r="AD19" i="2"/>
  <c r="F15" i="2"/>
  <c r="AD17" i="2"/>
  <c r="AH19" i="2"/>
  <c r="AD15" i="2"/>
  <c r="AD13" i="2"/>
  <c r="AD10" i="2"/>
  <c r="AD5" i="2"/>
  <c r="AH10" i="2"/>
  <c r="AH17" i="2"/>
  <c r="AD14" i="2"/>
  <c r="AD4" i="2"/>
  <c r="AD11" i="2"/>
  <c r="AH20" i="2"/>
  <c r="AD6" i="2"/>
  <c r="AD7" i="2"/>
  <c r="F11" i="2"/>
  <c r="Z12" i="2"/>
  <c r="AD16" i="2"/>
  <c r="Z18" i="2"/>
  <c r="AH7" i="2"/>
  <c r="Z8" i="2"/>
  <c r="AH11" i="2"/>
  <c r="AH14" i="1"/>
  <c r="AH7" i="1"/>
  <c r="AH16" i="1"/>
  <c r="AH17" i="1"/>
  <c r="AH10" i="1"/>
  <c r="AH18" i="1"/>
  <c r="AH4" i="1"/>
  <c r="AH12" i="1"/>
  <c r="AH20" i="1"/>
  <c r="AH5" i="1"/>
  <c r="AH13" i="1"/>
  <c r="AH6" i="1"/>
  <c r="AH15" i="1"/>
  <c r="AH8" i="1"/>
  <c r="AH9" i="1"/>
  <c r="AH11" i="1"/>
  <c r="AD4" i="1"/>
  <c r="AD12" i="1"/>
  <c r="AD5" i="1"/>
  <c r="AD14" i="1"/>
  <c r="AD15" i="1"/>
  <c r="AD8" i="1"/>
  <c r="AD16" i="1"/>
  <c r="AD9" i="1"/>
  <c r="AD17" i="1"/>
  <c r="AD13" i="1"/>
  <c r="AD6" i="1"/>
  <c r="AD7" i="1"/>
  <c r="AD10" i="1"/>
  <c r="AD18" i="1"/>
  <c r="AD19" i="1"/>
  <c r="Z12" i="1"/>
  <c r="Z15" i="1"/>
  <c r="Z5" i="1"/>
  <c r="Z18" i="1"/>
  <c r="Z7" i="1"/>
  <c r="Z11" i="1"/>
  <c r="Z13" i="1"/>
  <c r="Z6" i="1"/>
  <c r="Z14" i="1"/>
  <c r="Z8" i="1"/>
  <c r="Z16" i="1"/>
  <c r="Z9" i="1"/>
  <c r="Z17" i="1"/>
  <c r="Z10" i="1"/>
  <c r="V19" i="1"/>
  <c r="F11" i="1"/>
  <c r="F10" i="1"/>
  <c r="F9" i="1"/>
  <c r="F8" i="1"/>
  <c r="F7" i="1"/>
  <c r="F6" i="1"/>
  <c r="F5" i="1"/>
  <c r="F12" i="1"/>
  <c r="F15" i="1"/>
  <c r="B14" i="1"/>
  <c r="AD21" i="1" l="1"/>
  <c r="V19" i="2"/>
  <c r="AH22" i="2"/>
  <c r="Z20" i="2"/>
  <c r="V19" i="3"/>
  <c r="J16" i="3"/>
  <c r="AH22" i="3"/>
  <c r="AD21" i="3"/>
  <c r="AD21" i="2"/>
  <c r="AH22" i="1"/>
  <c r="Z20" i="1"/>
  <c r="Z12" i="3"/>
  <c r="Z18" i="3"/>
  <c r="Z8" i="3"/>
  <c r="Z16" i="3"/>
  <c r="Z17" i="3"/>
  <c r="Z5" i="3"/>
  <c r="Z9" i="3"/>
  <c r="Z10" i="3"/>
  <c r="Z11" i="3"/>
  <c r="Z14" i="3"/>
  <c r="Z4" i="3"/>
  <c r="Z6" i="3"/>
  <c r="Z13" i="3"/>
  <c r="Z7" i="3"/>
  <c r="Z15" i="3"/>
  <c r="Z20" i="3" l="1"/>
</calcChain>
</file>

<file path=xl/sharedStrings.xml><?xml version="1.0" encoding="utf-8"?>
<sst xmlns="http://schemas.openxmlformats.org/spreadsheetml/2006/main" count="135" uniqueCount="13">
  <si>
    <t>Rows: 8</t>
  </si>
  <si>
    <t>Value</t>
  </si>
  <si>
    <t>Probability</t>
  </si>
  <si>
    <t>Weight</t>
  </si>
  <si>
    <t>RTP</t>
  </si>
  <si>
    <t>Rows : 9</t>
  </si>
  <si>
    <t>Rows: 10</t>
  </si>
  <si>
    <t>Rows: 11</t>
  </si>
  <si>
    <t>Rows: 12</t>
  </si>
  <si>
    <t>Rows: 13</t>
  </si>
  <si>
    <t>Rows: 14</t>
  </si>
  <si>
    <t>Rows: 15</t>
  </si>
  <si>
    <t>Rows: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</si>
</sst>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00"/>
    <numFmt numFmtId="166" formatCode="0.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10" fontId="0" fillId="0" borderId="0" xfId="1" applyNumberFormat="1" applyFont="1"/>
    <xf numFmtId="0" fontId="2" fillId="2" borderId="0" xfId="0" applyFont="1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0" borderId="11" xfId="0" applyBorder="1"/>
    <xf numFmtId="0" fontId="0" fillId="0" borderId="12" xfId="0" applyBorder="1"/>
    <xf numFmtId="164" fontId="0" fillId="0" borderId="5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" fontId="0" fillId="0" borderId="0" xfId="0" applyNumberFormat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8" xfId="0" applyNumberFormat="1" applyBorder="1"/>
    <xf numFmtId="1" fontId="0" fillId="0" borderId="9" xfId="0" applyNumberFormat="1" applyBorder="1"/>
    <xf numFmtId="1" fontId="0" fillId="0" borderId="10" xfId="0" applyNumberForma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164" fontId="0" fillId="0" borderId="5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E6BA-D915-47B1-AD8C-8101F164195D}">
  <dimension ref="A2:AI24"/>
  <sheetViews>
    <sheetView tabSelected="1" topLeftCell="A2" workbookViewId="0">
      <selection activeCell="G4" sqref="G4:G13"/>
    </sheetView>
  </sheetViews>
  <sheetFormatPr defaultRowHeight="14.4" x14ac:dyDescent="0.3"/>
  <cols>
    <col min="2" max="2" width="9.6640625" bestFit="1" customWidth="1"/>
    <col min="3" max="3" width="12.21875" customWidth="1"/>
    <col min="6" max="6" width="11" customWidth="1"/>
    <col min="7" max="7" width="10.21875" customWidth="1"/>
    <col min="10" max="10" width="11" customWidth="1"/>
    <col min="11" max="11" width="9.6640625" customWidth="1"/>
    <col min="14" max="15" width="10.33203125" customWidth="1"/>
    <col min="18" max="18" width="9.6640625" bestFit="1" customWidth="1"/>
    <col min="19" max="19" width="9.6640625" customWidth="1"/>
    <col min="22" max="23" width="9.44140625" customWidth="1"/>
    <col min="26" max="27" width="10.109375" customWidth="1"/>
    <col min="30" max="31" width="9.5546875" customWidth="1"/>
    <col min="34" max="34" width="10.109375" customWidth="1"/>
    <col min="35" max="35" width="10" bestFit="1" customWidth="1"/>
  </cols>
  <sheetData>
    <row r="2" spans="1:35" ht="15" thickBot="1" x14ac:dyDescent="0.35">
      <c r="A2" s="2" t="s">
        <v>0</v>
      </c>
      <c r="E2" s="2" t="s">
        <v>5</v>
      </c>
      <c r="I2" s="2" t="s">
        <v>6</v>
      </c>
      <c r="M2" s="2" t="s">
        <v>7</v>
      </c>
      <c r="Q2" s="2" t="s">
        <v>8</v>
      </c>
      <c r="U2" s="2" t="s">
        <v>9</v>
      </c>
      <c r="Y2" s="2" t="s">
        <v>10</v>
      </c>
      <c r="AC2" s="2" t="s">
        <v>11</v>
      </c>
      <c r="AG2" s="2" t="s">
        <v>12</v>
      </c>
    </row>
    <row r="3" spans="1:35" ht="15" thickBot="1" x14ac:dyDescent="0.35">
      <c r="A3" s="10" t="s">
        <v>1</v>
      </c>
      <c r="B3" s="11" t="s">
        <v>2</v>
      </c>
      <c r="C3" s="10" t="s">
        <v>3</v>
      </c>
      <c r="E3" s="3" t="s">
        <v>1</v>
      </c>
      <c r="F3" s="10" t="s">
        <v>2</v>
      </c>
      <c r="G3" s="10" t="s">
        <v>3</v>
      </c>
      <c r="I3" s="12" t="s">
        <v>1</v>
      </c>
      <c r="J3" s="10" t="s">
        <v>2</v>
      </c>
      <c r="K3" s="7" t="s">
        <v>3</v>
      </c>
      <c r="M3" s="10" t="s">
        <v>1</v>
      </c>
      <c r="N3" s="10" t="s">
        <v>2</v>
      </c>
      <c r="O3" s="7" t="s">
        <v>3</v>
      </c>
      <c r="Q3" s="12" t="s">
        <v>1</v>
      </c>
      <c r="R3" s="11" t="s">
        <v>2</v>
      </c>
      <c r="S3" s="7" t="s">
        <v>3</v>
      </c>
      <c r="U3" s="3" t="s">
        <v>1</v>
      </c>
      <c r="V3" s="10" t="s">
        <v>2</v>
      </c>
      <c r="W3" s="7" t="s">
        <v>3</v>
      </c>
      <c r="Y3" s="10" t="s">
        <v>1</v>
      </c>
      <c r="Z3" s="4" t="s">
        <v>2</v>
      </c>
      <c r="AA3" s="7" t="s">
        <v>3</v>
      </c>
      <c r="AC3" s="10" t="s">
        <v>1</v>
      </c>
      <c r="AD3" s="10" t="s">
        <v>2</v>
      </c>
      <c r="AE3" s="4" t="s">
        <v>3</v>
      </c>
      <c r="AG3" s="10" t="s">
        <v>1</v>
      </c>
      <c r="AH3" s="4" t="s">
        <v>2</v>
      </c>
      <c r="AI3" s="4" t="s">
        <v>3</v>
      </c>
    </row>
    <row r="4" spans="1:35" x14ac:dyDescent="0.3">
      <c r="A4" s="8">
        <v>5.6</v>
      </c>
      <c r="B4" s="13">
        <f>C4/SUM($C$4:$C$12)</f>
        <v>1.0371123538383325E-3</v>
      </c>
      <c r="C4" s="19">
        <v>816</v>
      </c>
      <c r="E4" s="7">
        <v>5.6</v>
      </c>
      <c r="F4" s="29">
        <f>G4/SUM($G$4:$G$13)</f>
        <v>5.2230432932255189E-4</v>
      </c>
      <c r="G4" s="19">
        <v>405</v>
      </c>
      <c r="H4" s="18"/>
      <c r="I4" s="5">
        <v>8.9</v>
      </c>
      <c r="J4" s="33">
        <f>K4/SUM($K$4:$K$14)</f>
        <v>4.2063639812704869E-4</v>
      </c>
      <c r="K4" s="19">
        <v>357</v>
      </c>
      <c r="M4" s="5">
        <v>8.4</v>
      </c>
      <c r="N4" s="16">
        <f>O4/SUM($O$4:$O$15)</f>
        <v>3.3184199636145009E-4</v>
      </c>
      <c r="O4" s="22">
        <v>340</v>
      </c>
      <c r="Q4" s="5">
        <v>10</v>
      </c>
      <c r="R4" s="15">
        <f>S4/SUM($S$4:$S$16)</f>
        <v>2.7136182934054553E-4</v>
      </c>
      <c r="S4" s="22">
        <v>240</v>
      </c>
      <c r="U4" s="7">
        <v>8.1</v>
      </c>
      <c r="V4" s="13">
        <f>W4/SUM($W$4:$W$17)</f>
        <v>8.8960716430302984E-5</v>
      </c>
      <c r="W4" s="22">
        <v>96</v>
      </c>
      <c r="Y4" s="5">
        <v>7.1</v>
      </c>
      <c r="Z4" s="15">
        <f>AA4/SUM($AA$4:$AA$18)</f>
        <v>9.5983446391729657E-5</v>
      </c>
      <c r="AA4" s="22">
        <v>95</v>
      </c>
      <c r="AC4" s="7">
        <v>15</v>
      </c>
      <c r="AD4" s="13">
        <f>AE4/SUM($AE$4:$AE$19)</f>
        <v>4.7628119641836543E-5</v>
      </c>
      <c r="AE4" s="22">
        <v>50</v>
      </c>
      <c r="AG4" s="5">
        <v>16</v>
      </c>
      <c r="AH4" s="15">
        <f>AI4/SUM($AI$4:$AI$20)</f>
        <v>1.6693097404223353E-5</v>
      </c>
      <c r="AI4" s="22">
        <v>20</v>
      </c>
    </row>
    <row r="5" spans="1:35" x14ac:dyDescent="0.3">
      <c r="A5" s="8">
        <v>2.1</v>
      </c>
      <c r="B5" s="13">
        <f t="shared" ref="B5:B12" si="0">C5/SUM($C$4:$C$12)</f>
        <v>1.8905693950177938E-2</v>
      </c>
      <c r="C5" s="20">
        <v>14875</v>
      </c>
      <c r="E5" s="8">
        <v>2</v>
      </c>
      <c r="F5" s="29">
        <f t="shared" ref="F5:F13" si="1">G5/SUM($G$4:$G$13)</f>
        <v>1.2029764898569788E-2</v>
      </c>
      <c r="G5" s="31">
        <v>9328</v>
      </c>
      <c r="I5" s="5">
        <v>3</v>
      </c>
      <c r="J5" s="33">
        <f t="shared" ref="J5:J14" si="2">K5/SUM($K$4:$K$14)</f>
        <v>6.1457687748758712E-3</v>
      </c>
      <c r="K5" s="20">
        <v>5216</v>
      </c>
      <c r="M5" s="5">
        <v>3</v>
      </c>
      <c r="N5" s="16">
        <f t="shared" ref="N5:N15" si="3">O5/SUM($O$4:$O$15)</f>
        <v>1.9520117433026478E-3</v>
      </c>
      <c r="O5" s="23">
        <v>2000</v>
      </c>
      <c r="Q5" s="5">
        <v>3</v>
      </c>
      <c r="R5" s="16">
        <f t="shared" ref="R5:R16" si="4">S5/SUM($S$4:$S$16)</f>
        <v>3.0075936085243796E-3</v>
      </c>
      <c r="S5" s="23">
        <v>2660</v>
      </c>
      <c r="U5" s="8">
        <v>4</v>
      </c>
      <c r="V5" s="13">
        <f t="shared" ref="V5:V17" si="5">W5/SUM($W$4:$W$17)</f>
        <v>4.6333706474116141E-4</v>
      </c>
      <c r="W5" s="23">
        <v>500</v>
      </c>
      <c r="Y5" s="5">
        <v>4</v>
      </c>
      <c r="Z5" s="16">
        <f>AA5/SUM($AA$4:$AA$18)</f>
        <v>5.75900678350378E-4</v>
      </c>
      <c r="AA5" s="23">
        <v>570</v>
      </c>
      <c r="AC5" s="8">
        <v>8</v>
      </c>
      <c r="AD5" s="13">
        <f t="shared" ref="AD5:AD19" si="6">AE5/SUM($AE$4:$AE$19)</f>
        <v>4.3627357591922273E-4</v>
      </c>
      <c r="AE5" s="23">
        <v>458</v>
      </c>
      <c r="AG5" s="5">
        <v>9</v>
      </c>
      <c r="AH5" s="16">
        <f t="shared" ref="AH5:AH20" si="7">AI5/SUM($AI$4:$AI$20)</f>
        <v>2.4538853184208332E-4</v>
      </c>
      <c r="AI5" s="23">
        <v>294</v>
      </c>
    </row>
    <row r="6" spans="1:35" x14ac:dyDescent="0.3">
      <c r="A6" s="8">
        <v>1.1000000000000001</v>
      </c>
      <c r="B6" s="13">
        <f t="shared" si="0"/>
        <v>0.10407346212506355</v>
      </c>
      <c r="C6" s="20">
        <v>81885</v>
      </c>
      <c r="E6" s="8">
        <v>1.6</v>
      </c>
      <c r="F6" s="29">
        <f t="shared" si="1"/>
        <v>8.3843386079622398E-2</v>
      </c>
      <c r="G6" s="31">
        <v>65013</v>
      </c>
      <c r="I6" s="5">
        <v>1.4</v>
      </c>
      <c r="J6" s="33">
        <f t="shared" si="2"/>
        <v>5.0717909684534483E-2</v>
      </c>
      <c r="K6" s="20">
        <v>43045</v>
      </c>
      <c r="M6" s="5">
        <v>1.9</v>
      </c>
      <c r="N6" s="16">
        <f t="shared" si="3"/>
        <v>2.3619342093962038E-2</v>
      </c>
      <c r="O6" s="23">
        <v>24200</v>
      </c>
      <c r="Q6" s="5">
        <v>1.6</v>
      </c>
      <c r="R6" s="16">
        <f t="shared" si="4"/>
        <v>1.5309329871962443E-2</v>
      </c>
      <c r="S6" s="23">
        <v>13540</v>
      </c>
      <c r="U6" s="8">
        <v>3</v>
      </c>
      <c r="V6" s="13">
        <f t="shared" si="5"/>
        <v>6.6915138889918529E-3</v>
      </c>
      <c r="W6" s="23">
        <v>7221</v>
      </c>
      <c r="Y6" s="5">
        <v>1.9</v>
      </c>
      <c r="Z6" s="16">
        <f t="shared" ref="Z6:Z18" si="8">AA6/SUM($AA$4:$AA$18)</f>
        <v>4.4455490960380057E-3</v>
      </c>
      <c r="AA6" s="23">
        <v>4400</v>
      </c>
      <c r="AC6" s="8">
        <v>3</v>
      </c>
      <c r="AD6" s="13">
        <f t="shared" si="6"/>
        <v>2.909125547723376E-3</v>
      </c>
      <c r="AE6" s="23">
        <v>3054</v>
      </c>
      <c r="AG6" s="5">
        <v>2</v>
      </c>
      <c r="AH6" s="16">
        <f t="shared" si="7"/>
        <v>1.2811952257741424E-3</v>
      </c>
      <c r="AI6" s="23">
        <v>1535</v>
      </c>
    </row>
    <row r="7" spans="1:35" x14ac:dyDescent="0.3">
      <c r="A7" s="8">
        <v>1</v>
      </c>
      <c r="B7" s="13">
        <f t="shared" si="0"/>
        <v>0.25400355871886121</v>
      </c>
      <c r="C7" s="20">
        <v>199850</v>
      </c>
      <c r="E7" s="8">
        <v>1</v>
      </c>
      <c r="F7" s="29">
        <f t="shared" si="1"/>
        <v>0.10447763118866148</v>
      </c>
      <c r="G7" s="31">
        <v>81013</v>
      </c>
      <c r="I7" s="5">
        <v>1.1000000000000001</v>
      </c>
      <c r="J7" s="33">
        <f t="shared" si="2"/>
        <v>0.12499852718347995</v>
      </c>
      <c r="K7" s="20">
        <v>106088</v>
      </c>
      <c r="M7" s="5">
        <v>1.3</v>
      </c>
      <c r="N7" s="16">
        <f t="shared" si="3"/>
        <v>5.8956610682969868E-2</v>
      </c>
      <c r="O7" s="23">
        <v>60406</v>
      </c>
      <c r="Q7" s="5">
        <v>1.4</v>
      </c>
      <c r="R7" s="16">
        <f t="shared" si="4"/>
        <v>5.6885354149800775E-2</v>
      </c>
      <c r="S7" s="23">
        <v>50311</v>
      </c>
      <c r="U7" s="8">
        <v>1.9</v>
      </c>
      <c r="V7" s="13">
        <f t="shared" si="5"/>
        <v>3.1240038253108064E-2</v>
      </c>
      <c r="W7" s="23">
        <v>33712</v>
      </c>
      <c r="Y7" s="5">
        <v>1.4</v>
      </c>
      <c r="Z7" s="16">
        <f t="shared" si="8"/>
        <v>1.8505608464325477E-2</v>
      </c>
      <c r="AA7" s="23">
        <v>18316</v>
      </c>
      <c r="AC7" s="8">
        <v>2</v>
      </c>
      <c r="AD7" s="13">
        <f t="shared" si="6"/>
        <v>1.0273385406744141E-2</v>
      </c>
      <c r="AE7" s="23">
        <v>10785</v>
      </c>
      <c r="AG7" s="5">
        <v>1.4</v>
      </c>
      <c r="AH7" s="16">
        <f t="shared" si="7"/>
        <v>7.9876471079208741E-3</v>
      </c>
      <c r="AI7" s="23">
        <v>9570</v>
      </c>
    </row>
    <row r="8" spans="1:35" x14ac:dyDescent="0.3">
      <c r="A8" s="8">
        <v>0.5</v>
      </c>
      <c r="B8" s="13">
        <f t="shared" si="0"/>
        <v>0.24396034570411795</v>
      </c>
      <c r="C8" s="20">
        <v>191948</v>
      </c>
      <c r="E8" s="8">
        <v>0.7</v>
      </c>
      <c r="F8" s="29">
        <f t="shared" si="1"/>
        <v>0.29912691350382381</v>
      </c>
      <c r="G8" s="31">
        <v>231946</v>
      </c>
      <c r="I8" s="5">
        <v>1</v>
      </c>
      <c r="J8" s="33">
        <f t="shared" si="2"/>
        <v>0.1709386200769635</v>
      </c>
      <c r="K8" s="20">
        <v>145078</v>
      </c>
      <c r="M8" s="5">
        <v>1</v>
      </c>
      <c r="N8" s="16">
        <f t="shared" si="3"/>
        <v>0.18075628742982519</v>
      </c>
      <c r="O8" s="23">
        <v>185200</v>
      </c>
      <c r="Q8" s="5">
        <v>1.1000000000000001</v>
      </c>
      <c r="R8" s="16">
        <f t="shared" si="4"/>
        <v>0.14286069640490803</v>
      </c>
      <c r="S8" s="23">
        <v>126350</v>
      </c>
      <c r="U8" s="8">
        <v>1.2</v>
      </c>
      <c r="V8" s="13">
        <f t="shared" si="5"/>
        <v>8.0880118021217126E-2</v>
      </c>
      <c r="W8" s="23">
        <v>87280</v>
      </c>
      <c r="Y8" s="5">
        <v>1.3</v>
      </c>
      <c r="Z8" s="16">
        <f t="shared" si="8"/>
        <v>6.1526399489165995E-2</v>
      </c>
      <c r="AA8" s="23">
        <v>60896</v>
      </c>
      <c r="AC8" s="8">
        <v>1.5</v>
      </c>
      <c r="AD8" s="13">
        <f t="shared" si="6"/>
        <v>3.9679939036006862E-2</v>
      </c>
      <c r="AE8" s="23">
        <v>41656</v>
      </c>
      <c r="AG8" s="5">
        <v>1.4</v>
      </c>
      <c r="AH8" s="16">
        <f t="shared" si="7"/>
        <v>2.2344545530423171E-2</v>
      </c>
      <c r="AI8" s="23">
        <v>26771</v>
      </c>
    </row>
    <row r="9" spans="1:35" x14ac:dyDescent="0.3">
      <c r="A9" s="8">
        <v>1</v>
      </c>
      <c r="B9" s="13">
        <f t="shared" si="0"/>
        <v>0.25400355871886121</v>
      </c>
      <c r="C9" s="20">
        <v>199850</v>
      </c>
      <c r="E9" s="8">
        <v>0.7</v>
      </c>
      <c r="F9" s="29">
        <f t="shared" si="1"/>
        <v>0.29912691350382381</v>
      </c>
      <c r="G9" s="31">
        <v>231946</v>
      </c>
      <c r="I9" s="5">
        <v>0.5</v>
      </c>
      <c r="J9" s="33">
        <f t="shared" si="2"/>
        <v>0.29355707576403828</v>
      </c>
      <c r="K9" s="20">
        <v>249146</v>
      </c>
      <c r="M9" s="5">
        <v>0.7</v>
      </c>
      <c r="N9" s="16">
        <f t="shared" si="3"/>
        <v>0.23438390605357881</v>
      </c>
      <c r="O9" s="23">
        <v>240146</v>
      </c>
      <c r="Q9" s="5">
        <v>1</v>
      </c>
      <c r="R9" s="16">
        <f t="shared" si="4"/>
        <v>0.12228242434658333</v>
      </c>
      <c r="S9" s="23">
        <v>108150</v>
      </c>
      <c r="U9" s="8">
        <v>0.9</v>
      </c>
      <c r="V9" s="13">
        <f t="shared" si="5"/>
        <v>0.14735879339614949</v>
      </c>
      <c r="W9" s="23">
        <v>159019</v>
      </c>
      <c r="Y9" s="5">
        <v>1.1000000000000001</v>
      </c>
      <c r="Z9" s="16">
        <f t="shared" si="8"/>
        <v>0.12143623567068181</v>
      </c>
      <c r="AA9" s="23">
        <v>120192</v>
      </c>
      <c r="AC9" s="8">
        <v>1.1000000000000001</v>
      </c>
      <c r="AD9" s="13">
        <f t="shared" si="6"/>
        <v>7.7771004000762048E-2</v>
      </c>
      <c r="AE9" s="23">
        <v>81644</v>
      </c>
      <c r="AG9" s="5">
        <v>1.2</v>
      </c>
      <c r="AH9" s="16">
        <f t="shared" si="7"/>
        <v>5.3543109924046407E-2</v>
      </c>
      <c r="AI9" s="23">
        <v>64150</v>
      </c>
    </row>
    <row r="10" spans="1:35" x14ac:dyDescent="0.3">
      <c r="A10" s="8">
        <v>1.1000000000000001</v>
      </c>
      <c r="B10" s="13">
        <f t="shared" si="0"/>
        <v>0.10407346212506355</v>
      </c>
      <c r="C10" s="20">
        <v>81885</v>
      </c>
      <c r="E10" s="8">
        <v>1</v>
      </c>
      <c r="F10" s="29">
        <f t="shared" si="1"/>
        <v>0.10447763118866148</v>
      </c>
      <c r="G10" s="31">
        <v>81013</v>
      </c>
      <c r="I10" s="5">
        <v>1</v>
      </c>
      <c r="J10" s="33">
        <f t="shared" si="2"/>
        <v>0.1709386200769635</v>
      </c>
      <c r="K10" s="20">
        <v>145078</v>
      </c>
      <c r="M10" s="5">
        <v>0.7</v>
      </c>
      <c r="N10" s="16">
        <f t="shared" si="3"/>
        <v>0.23438390605357881</v>
      </c>
      <c r="O10" s="23">
        <v>240146</v>
      </c>
      <c r="Q10" s="5">
        <v>0.5</v>
      </c>
      <c r="R10" s="16">
        <f t="shared" si="4"/>
        <v>0.31878909306353936</v>
      </c>
      <c r="S10" s="23">
        <v>281946</v>
      </c>
      <c r="U10" s="8">
        <v>0.7</v>
      </c>
      <c r="V10" s="13">
        <f t="shared" si="5"/>
        <v>0.23327723865936201</v>
      </c>
      <c r="W10" s="23">
        <v>251736</v>
      </c>
      <c r="Y10" s="5">
        <v>1</v>
      </c>
      <c r="Z10" s="16">
        <f t="shared" si="8"/>
        <v>0.15482635079019635</v>
      </c>
      <c r="AA10" s="23">
        <v>153240</v>
      </c>
      <c r="AC10" s="8">
        <v>1</v>
      </c>
      <c r="AD10" s="13">
        <f t="shared" si="6"/>
        <v>0.12739664698037723</v>
      </c>
      <c r="AE10" s="23">
        <v>133741</v>
      </c>
      <c r="AG10" s="5">
        <v>1.1000000000000001</v>
      </c>
      <c r="AH10" s="16">
        <f t="shared" si="7"/>
        <v>8.3625740756197317E-2</v>
      </c>
      <c r="AI10" s="23">
        <v>100192</v>
      </c>
    </row>
    <row r="11" spans="1:35" x14ac:dyDescent="0.3">
      <c r="A11" s="8">
        <v>2.1</v>
      </c>
      <c r="B11" s="13">
        <f t="shared" si="0"/>
        <v>1.8905693950177938E-2</v>
      </c>
      <c r="C11" s="20">
        <v>14875</v>
      </c>
      <c r="E11" s="8">
        <v>1.6</v>
      </c>
      <c r="F11" s="29">
        <f t="shared" si="1"/>
        <v>8.3843386079622398E-2</v>
      </c>
      <c r="G11" s="31">
        <v>65013</v>
      </c>
      <c r="I11" s="5">
        <v>1.1000000000000001</v>
      </c>
      <c r="J11" s="33">
        <f t="shared" si="2"/>
        <v>0.12499852718347995</v>
      </c>
      <c r="K11" s="20">
        <v>106088</v>
      </c>
      <c r="M11" s="5">
        <v>1</v>
      </c>
      <c r="N11" s="16">
        <f t="shared" si="3"/>
        <v>0.18075628742982519</v>
      </c>
      <c r="O11" s="23">
        <v>185200</v>
      </c>
      <c r="Q11" s="5">
        <v>1</v>
      </c>
      <c r="R11" s="16">
        <f t="shared" si="4"/>
        <v>0.12228242434658333</v>
      </c>
      <c r="S11" s="23">
        <v>108150</v>
      </c>
      <c r="U11" s="8">
        <v>0.7</v>
      </c>
      <c r="V11" s="13">
        <f t="shared" si="5"/>
        <v>0.23327723865936201</v>
      </c>
      <c r="W11" s="23">
        <v>251736</v>
      </c>
      <c r="Y11" s="5">
        <v>0.5</v>
      </c>
      <c r="Z11" s="16">
        <f t="shared" si="8"/>
        <v>0.27717594472970053</v>
      </c>
      <c r="AA11" s="23">
        <v>274336</v>
      </c>
      <c r="AC11" s="8">
        <v>0.7</v>
      </c>
      <c r="AD11" s="13">
        <f t="shared" si="6"/>
        <v>0.2414859973328253</v>
      </c>
      <c r="AE11" s="23">
        <v>253512</v>
      </c>
      <c r="AG11" s="5">
        <v>1</v>
      </c>
      <c r="AH11" s="16">
        <f t="shared" si="7"/>
        <v>0.21159502545697353</v>
      </c>
      <c r="AI11" s="23">
        <v>253512</v>
      </c>
    </row>
    <row r="12" spans="1:35" ht="15" thickBot="1" x14ac:dyDescent="0.35">
      <c r="A12" s="9">
        <v>5.6</v>
      </c>
      <c r="B12" s="14">
        <f t="shared" si="0"/>
        <v>1.0371123538383325E-3</v>
      </c>
      <c r="C12" s="21">
        <v>816</v>
      </c>
      <c r="E12" s="8">
        <v>2</v>
      </c>
      <c r="F12" s="29">
        <f t="shared" si="1"/>
        <v>1.2029764898569788E-2</v>
      </c>
      <c r="G12" s="31">
        <v>9328</v>
      </c>
      <c r="I12" s="5">
        <v>1.4</v>
      </c>
      <c r="J12" s="33">
        <f t="shared" si="2"/>
        <v>5.0717909684534483E-2</v>
      </c>
      <c r="K12" s="20">
        <v>43045</v>
      </c>
      <c r="M12" s="5">
        <v>1.3</v>
      </c>
      <c r="N12" s="16">
        <f t="shared" si="3"/>
        <v>5.8956610682969868E-2</v>
      </c>
      <c r="O12" s="23">
        <v>60406</v>
      </c>
      <c r="Q12" s="5">
        <v>1.1000000000000001</v>
      </c>
      <c r="R12" s="16">
        <f t="shared" si="4"/>
        <v>0.14286069640490803</v>
      </c>
      <c r="S12" s="23">
        <v>126350</v>
      </c>
      <c r="U12" s="8">
        <v>0.9</v>
      </c>
      <c r="V12" s="13">
        <f t="shared" si="5"/>
        <v>0.14735879339614949</v>
      </c>
      <c r="W12" s="23">
        <v>159019</v>
      </c>
      <c r="Y12" s="5">
        <v>1</v>
      </c>
      <c r="Z12" s="16">
        <f t="shared" si="8"/>
        <v>0.15482635079019635</v>
      </c>
      <c r="AA12" s="23">
        <v>153240</v>
      </c>
      <c r="AC12" s="8">
        <v>0.7</v>
      </c>
      <c r="AD12" s="13">
        <f t="shared" si="6"/>
        <v>0.2414859973328253</v>
      </c>
      <c r="AE12" s="23">
        <v>253512</v>
      </c>
      <c r="AG12" s="5">
        <v>0.5</v>
      </c>
      <c r="AH12" s="16">
        <f t="shared" si="7"/>
        <v>0.23872130873883649</v>
      </c>
      <c r="AI12" s="23">
        <v>286012</v>
      </c>
    </row>
    <row r="13" spans="1:35" ht="15" thickBot="1" x14ac:dyDescent="0.35">
      <c r="E13" s="9">
        <v>5.6</v>
      </c>
      <c r="F13" s="30">
        <f t="shared" si="1"/>
        <v>5.2230432932255189E-4</v>
      </c>
      <c r="G13" s="32">
        <v>405</v>
      </c>
      <c r="I13" s="5">
        <v>3</v>
      </c>
      <c r="J13" s="33">
        <f t="shared" si="2"/>
        <v>6.1457687748758712E-3</v>
      </c>
      <c r="K13" s="20">
        <v>5216</v>
      </c>
      <c r="M13" s="5">
        <v>1.9</v>
      </c>
      <c r="N13" s="16">
        <f t="shared" si="3"/>
        <v>2.3619342093962038E-2</v>
      </c>
      <c r="O13" s="23">
        <v>24200</v>
      </c>
      <c r="Q13" s="5">
        <v>1.4</v>
      </c>
      <c r="R13" s="16">
        <f t="shared" si="4"/>
        <v>5.6885354149800775E-2</v>
      </c>
      <c r="S13" s="23">
        <v>50311</v>
      </c>
      <c r="U13" s="8">
        <v>1.2</v>
      </c>
      <c r="V13" s="13">
        <f t="shared" si="5"/>
        <v>8.0880118021217126E-2</v>
      </c>
      <c r="W13" s="23">
        <v>87280</v>
      </c>
      <c r="Y13" s="5">
        <v>1.1000000000000001</v>
      </c>
      <c r="Z13" s="16">
        <f t="shared" si="8"/>
        <v>0.12143623567068181</v>
      </c>
      <c r="AA13" s="23">
        <v>120192</v>
      </c>
      <c r="AC13" s="8">
        <v>1</v>
      </c>
      <c r="AD13" s="13">
        <f t="shared" si="6"/>
        <v>0.12739664698037723</v>
      </c>
      <c r="AE13" s="23">
        <v>133741</v>
      </c>
      <c r="AG13" s="5">
        <v>1</v>
      </c>
      <c r="AH13" s="16">
        <f t="shared" si="7"/>
        <v>0.21159502545697353</v>
      </c>
      <c r="AI13" s="23">
        <v>253512</v>
      </c>
    </row>
    <row r="14" spans="1:35" ht="15" thickBot="1" x14ac:dyDescent="0.35">
      <c r="A14" t="s">
        <v>4</v>
      </c>
      <c r="B14" s="1">
        <f>SUMPRODUCT(A4:A12,C4:C12)/SUM(C4:C12)</f>
        <v>0.94996847991865785</v>
      </c>
      <c r="C14" s="1"/>
      <c r="I14" s="6">
        <v>8.9</v>
      </c>
      <c r="J14" s="34">
        <f t="shared" si="2"/>
        <v>4.2063639812704869E-4</v>
      </c>
      <c r="K14" s="21">
        <v>357</v>
      </c>
      <c r="M14" s="5">
        <v>3</v>
      </c>
      <c r="N14" s="16">
        <f t="shared" si="3"/>
        <v>1.9520117433026478E-3</v>
      </c>
      <c r="O14" s="23">
        <v>2000</v>
      </c>
      <c r="Q14" s="5">
        <v>1.6</v>
      </c>
      <c r="R14" s="16">
        <f t="shared" si="4"/>
        <v>1.5286716386184064E-2</v>
      </c>
      <c r="S14" s="23">
        <v>13520</v>
      </c>
      <c r="U14" s="8">
        <v>1.9</v>
      </c>
      <c r="V14" s="13">
        <f t="shared" si="5"/>
        <v>3.1240038253108064E-2</v>
      </c>
      <c r="W14" s="23">
        <v>33712</v>
      </c>
      <c r="Y14" s="5">
        <v>1.3</v>
      </c>
      <c r="Z14" s="16">
        <f t="shared" si="8"/>
        <v>6.1526399489165995E-2</v>
      </c>
      <c r="AA14" s="23">
        <v>60896</v>
      </c>
      <c r="AC14" s="8">
        <v>1.1000000000000001</v>
      </c>
      <c r="AD14" s="13">
        <f t="shared" si="6"/>
        <v>7.7771004000762048E-2</v>
      </c>
      <c r="AE14" s="23">
        <v>81644</v>
      </c>
      <c r="AG14" s="5">
        <v>1.1000000000000001</v>
      </c>
      <c r="AH14" s="16">
        <f t="shared" si="7"/>
        <v>8.3625740756197317E-2</v>
      </c>
      <c r="AI14" s="23">
        <v>100192</v>
      </c>
    </row>
    <row r="15" spans="1:35" ht="15" thickBot="1" x14ac:dyDescent="0.35">
      <c r="E15" t="s">
        <v>4</v>
      </c>
      <c r="F15" s="1">
        <f>SUMPRODUCT(E4:E13,G4:G13)/SUM(G4:G13)</f>
        <v>0.95000064482015967</v>
      </c>
      <c r="M15" s="6">
        <v>8.4</v>
      </c>
      <c r="N15" s="17">
        <f t="shared" si="3"/>
        <v>3.3184199636145009E-4</v>
      </c>
      <c r="O15" s="24">
        <v>340</v>
      </c>
      <c r="Q15" s="5">
        <v>3</v>
      </c>
      <c r="R15" s="16">
        <f t="shared" si="4"/>
        <v>3.0075936085243796E-3</v>
      </c>
      <c r="S15" s="23">
        <v>2660</v>
      </c>
      <c r="U15" s="8">
        <v>3</v>
      </c>
      <c r="V15" s="13">
        <f t="shared" si="5"/>
        <v>6.6915138889918529E-3</v>
      </c>
      <c r="W15" s="23">
        <v>7221</v>
      </c>
      <c r="Y15" s="5">
        <v>1.4</v>
      </c>
      <c r="Z15" s="16">
        <f t="shared" si="8"/>
        <v>1.8505608464325477E-2</v>
      </c>
      <c r="AA15" s="23">
        <v>18316</v>
      </c>
      <c r="AC15" s="8">
        <v>1.5</v>
      </c>
      <c r="AD15" s="13">
        <f t="shared" si="6"/>
        <v>3.9679939036006862E-2</v>
      </c>
      <c r="AE15" s="23">
        <v>41656</v>
      </c>
      <c r="AG15" s="5">
        <v>1.2</v>
      </c>
      <c r="AH15" s="16">
        <f t="shared" si="7"/>
        <v>5.3543109924046407E-2</v>
      </c>
      <c r="AI15" s="23">
        <v>64150</v>
      </c>
    </row>
    <row r="16" spans="1:35" ht="15" thickBot="1" x14ac:dyDescent="0.35">
      <c r="B16" s="25"/>
      <c r="I16" t="s">
        <v>4</v>
      </c>
      <c r="J16" s="1">
        <f>SUMPRODUCT(I4:I14,J4:J14)</f>
        <v>0.95002462549221511</v>
      </c>
      <c r="K16" s="1"/>
      <c r="Q16" s="6">
        <v>10</v>
      </c>
      <c r="R16" s="17">
        <f t="shared" si="4"/>
        <v>2.7136182934054553E-4</v>
      </c>
      <c r="S16" s="24">
        <v>240</v>
      </c>
      <c r="U16" s="8">
        <v>4</v>
      </c>
      <c r="V16" s="13">
        <f t="shared" si="5"/>
        <v>4.6333706474116141E-4</v>
      </c>
      <c r="W16" s="23">
        <v>500</v>
      </c>
      <c r="Y16" s="5">
        <v>1.9</v>
      </c>
      <c r="Z16" s="16">
        <f t="shared" si="8"/>
        <v>4.4455490960380057E-3</v>
      </c>
      <c r="AA16" s="23">
        <v>4400</v>
      </c>
      <c r="AC16" s="8">
        <v>2</v>
      </c>
      <c r="AD16" s="13">
        <f t="shared" si="6"/>
        <v>1.0273385406744141E-2</v>
      </c>
      <c r="AE16" s="23">
        <v>10785</v>
      </c>
      <c r="AG16" s="5">
        <v>1.4</v>
      </c>
      <c r="AH16" s="16">
        <f t="shared" si="7"/>
        <v>2.2344545530423171E-2</v>
      </c>
      <c r="AI16" s="23">
        <v>26771</v>
      </c>
    </row>
    <row r="17" spans="2:35" ht="15" thickBot="1" x14ac:dyDescent="0.35">
      <c r="F17" s="28"/>
      <c r="M17" t="s">
        <v>4</v>
      </c>
      <c r="N17" s="1">
        <f>SUMPRODUCT(M4:M15,O4:O15)/SUM(O4:O15)</f>
        <v>0.94997774706612637</v>
      </c>
      <c r="O17" s="1"/>
      <c r="U17" s="9">
        <v>8.1</v>
      </c>
      <c r="V17" s="14">
        <f t="shared" si="5"/>
        <v>8.8960716430302984E-5</v>
      </c>
      <c r="W17" s="24">
        <v>96</v>
      </c>
      <c r="Y17" s="5">
        <v>4</v>
      </c>
      <c r="Z17" s="16">
        <f t="shared" si="8"/>
        <v>5.75900678350378E-4</v>
      </c>
      <c r="AA17" s="23">
        <v>570</v>
      </c>
      <c r="AC17" s="8">
        <v>3</v>
      </c>
      <c r="AD17" s="13">
        <f t="shared" si="6"/>
        <v>2.909125547723376E-3</v>
      </c>
      <c r="AE17" s="23">
        <v>3054</v>
      </c>
      <c r="AG17" s="5">
        <v>1.4</v>
      </c>
      <c r="AH17" s="16">
        <f t="shared" si="7"/>
        <v>7.9876471079208741E-3</v>
      </c>
      <c r="AI17" s="23">
        <v>9570</v>
      </c>
    </row>
    <row r="18" spans="2:35" ht="15" thickBot="1" x14ac:dyDescent="0.35">
      <c r="J18" s="28"/>
      <c r="Q18" t="s">
        <v>4</v>
      </c>
      <c r="R18" s="1">
        <f>SUMPRODUCT(Q4:Q16,S4:S16)/SUM(S4:S16)</f>
        <v>0.94995839118616787</v>
      </c>
      <c r="S18" s="1"/>
      <c r="Y18" s="6">
        <v>7.1</v>
      </c>
      <c r="Z18" s="17">
        <f t="shared" si="8"/>
        <v>9.5983446391729657E-5</v>
      </c>
      <c r="AA18" s="24">
        <v>95</v>
      </c>
      <c r="AC18" s="8">
        <v>8</v>
      </c>
      <c r="AD18" s="13">
        <f t="shared" si="6"/>
        <v>4.3627357591922273E-4</v>
      </c>
      <c r="AE18" s="23">
        <v>458</v>
      </c>
      <c r="AG18" s="5">
        <v>2</v>
      </c>
      <c r="AH18" s="16">
        <f t="shared" si="7"/>
        <v>1.2811952257741424E-3</v>
      </c>
      <c r="AI18" s="23">
        <v>1535</v>
      </c>
    </row>
    <row r="19" spans="2:35" ht="15" thickBot="1" x14ac:dyDescent="0.35">
      <c r="F19" s="27"/>
      <c r="N19" s="28"/>
      <c r="U19" t="s">
        <v>4</v>
      </c>
      <c r="V19" s="1">
        <f>SUMPRODUCT(U4:U17,V4:V17)</f>
        <v>0.94995533430695878</v>
      </c>
      <c r="W19" s="1"/>
      <c r="AC19" s="9">
        <v>15</v>
      </c>
      <c r="AD19" s="14">
        <f t="shared" si="6"/>
        <v>4.7628119641836543E-5</v>
      </c>
      <c r="AE19" s="24">
        <v>50</v>
      </c>
      <c r="AG19" s="5">
        <v>9</v>
      </c>
      <c r="AH19" s="16">
        <f t="shared" si="7"/>
        <v>2.4538853184208332E-4</v>
      </c>
      <c r="AI19" s="23">
        <v>294</v>
      </c>
    </row>
    <row r="20" spans="2:35" ht="15" thickBot="1" x14ac:dyDescent="0.35">
      <c r="B20" s="26"/>
      <c r="Y20" t="s">
        <v>4</v>
      </c>
      <c r="Z20" s="1">
        <f>SUMPRODUCT(Y4:Y18,Z4:Z18)</f>
        <v>0.95004799172319576</v>
      </c>
      <c r="AA20" s="1"/>
      <c r="AG20" s="6">
        <v>16</v>
      </c>
      <c r="AH20" s="17">
        <f t="shared" si="7"/>
        <v>1.6693097404223353E-5</v>
      </c>
      <c r="AI20" s="24">
        <v>20</v>
      </c>
    </row>
    <row r="21" spans="2:35" x14ac:dyDescent="0.3">
      <c r="V21" s="28"/>
      <c r="AC21" t="s">
        <v>4</v>
      </c>
      <c r="AD21" s="1">
        <f>SUMPRODUCT(AC4:AC19,AD4:AD19)</f>
        <v>0.94996723185368648</v>
      </c>
      <c r="AE21" s="1"/>
    </row>
    <row r="22" spans="2:35" x14ac:dyDescent="0.3">
      <c r="AA22" s="28"/>
      <c r="AG22" t="s">
        <v>4</v>
      </c>
      <c r="AH22" s="1">
        <f>SUMPRODUCT(AG4:AG20,AH4:AH20)</f>
        <v>0.95003689174526318</v>
      </c>
    </row>
    <row r="23" spans="2:35" x14ac:dyDescent="0.3">
      <c r="AD23" s="28"/>
      <c r="AI23" s="28"/>
    </row>
    <row r="24" spans="2:35" x14ac:dyDescent="0.3">
      <c r="AH24" s="2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CEDF-77E2-4767-A6AF-1385607C078A}">
  <dimension ref="A2:AI24"/>
  <sheetViews>
    <sheetView workbookViewId="0">
      <selection activeCell="C32" sqref="C32"/>
    </sheetView>
  </sheetViews>
  <sheetFormatPr defaultRowHeight="14.4" x14ac:dyDescent="0.3"/>
  <cols>
    <col min="2" max="2" width="9.6640625" bestFit="1" customWidth="1"/>
    <col min="3" max="3" width="12.21875" customWidth="1"/>
    <col min="6" max="6" width="14.109375" bestFit="1" customWidth="1"/>
    <col min="10" max="10" width="9.6640625" bestFit="1" customWidth="1"/>
    <col min="11" max="11" width="9.6640625" customWidth="1"/>
    <col min="14" max="15" width="10.33203125" customWidth="1"/>
    <col min="18" max="18" width="9.6640625" bestFit="1" customWidth="1"/>
    <col min="19" max="19" width="9.6640625" customWidth="1"/>
    <col min="22" max="23" width="9.44140625" customWidth="1"/>
    <col min="26" max="27" width="10.109375" customWidth="1"/>
    <col min="30" max="31" width="9.5546875" customWidth="1"/>
    <col min="34" max="34" width="10.109375" customWidth="1"/>
    <col min="35" max="35" width="10" bestFit="1" customWidth="1"/>
  </cols>
  <sheetData>
    <row r="2" spans="1:35" ht="15" thickBot="1" x14ac:dyDescent="0.35">
      <c r="A2" s="2" t="s">
        <v>0</v>
      </c>
      <c r="E2" s="2" t="s">
        <v>5</v>
      </c>
      <c r="I2" s="2" t="s">
        <v>6</v>
      </c>
      <c r="M2" s="2" t="s">
        <v>7</v>
      </c>
      <c r="Q2" s="2" t="s">
        <v>8</v>
      </c>
      <c r="U2" s="2" t="s">
        <v>9</v>
      </c>
      <c r="Y2" s="2" t="s">
        <v>10</v>
      </c>
      <c r="AC2" s="2" t="s">
        <v>11</v>
      </c>
      <c r="AG2" s="2" t="s">
        <v>12</v>
      </c>
    </row>
    <row r="3" spans="1:35" ht="15" thickBot="1" x14ac:dyDescent="0.35">
      <c r="A3" s="10" t="s">
        <v>1</v>
      </c>
      <c r="B3" s="11" t="s">
        <v>2</v>
      </c>
      <c r="C3" s="10" t="s">
        <v>3</v>
      </c>
      <c r="E3" s="3" t="s">
        <v>1</v>
      </c>
      <c r="F3" s="10" t="s">
        <v>2</v>
      </c>
      <c r="G3" s="10" t="s">
        <v>3</v>
      </c>
      <c r="I3" s="12" t="s">
        <v>1</v>
      </c>
      <c r="J3" s="10" t="s">
        <v>2</v>
      </c>
      <c r="K3" s="7" t="s">
        <v>3</v>
      </c>
      <c r="M3" s="10" t="s">
        <v>1</v>
      </c>
      <c r="N3" s="10" t="s">
        <v>2</v>
      </c>
      <c r="O3" s="7" t="s">
        <v>3</v>
      </c>
      <c r="Q3" s="12" t="s">
        <v>1</v>
      </c>
      <c r="R3" s="11" t="s">
        <v>2</v>
      </c>
      <c r="S3" s="7" t="s">
        <v>3</v>
      </c>
      <c r="U3" s="3" t="s">
        <v>1</v>
      </c>
      <c r="V3" s="10" t="s">
        <v>2</v>
      </c>
      <c r="W3" s="7" t="s">
        <v>3</v>
      </c>
      <c r="Y3" s="10" t="s">
        <v>1</v>
      </c>
      <c r="Z3" s="4" t="s">
        <v>2</v>
      </c>
      <c r="AA3" s="7" t="s">
        <v>3</v>
      </c>
      <c r="AC3" s="10" t="s">
        <v>1</v>
      </c>
      <c r="AD3" s="10" t="s">
        <v>2</v>
      </c>
      <c r="AE3" s="4" t="s">
        <v>3</v>
      </c>
      <c r="AG3" s="10" t="s">
        <v>1</v>
      </c>
      <c r="AH3" s="4" t="s">
        <v>2</v>
      </c>
      <c r="AI3" s="4" t="s">
        <v>3</v>
      </c>
    </row>
    <row r="4" spans="1:35" x14ac:dyDescent="0.3">
      <c r="A4" s="8">
        <v>13</v>
      </c>
      <c r="B4" s="13">
        <f>C4/SUM($C$4:$C$12)</f>
        <v>1.4136790915199211E-3</v>
      </c>
      <c r="C4" s="19">
        <v>850</v>
      </c>
      <c r="E4" s="7">
        <v>18</v>
      </c>
      <c r="F4" s="13">
        <f>G4/SUM($G$4:$G$13)</f>
        <v>6.0687067510991103E-4</v>
      </c>
      <c r="G4" s="19">
        <v>405</v>
      </c>
      <c r="H4" s="18"/>
      <c r="I4" s="5">
        <v>22</v>
      </c>
      <c r="J4" s="16">
        <f>K4/SUM($K$4:$K$14)</f>
        <v>7.1680539385198189E-4</v>
      </c>
      <c r="K4" s="22">
        <v>660</v>
      </c>
      <c r="M4" s="5">
        <v>24</v>
      </c>
      <c r="N4" s="16">
        <f>O4/SUM($O$4:$O$15)</f>
        <v>1.3229343033552654E-3</v>
      </c>
      <c r="O4" s="22">
        <v>1358</v>
      </c>
      <c r="Q4" s="5">
        <v>33</v>
      </c>
      <c r="R4" s="15">
        <f>S4/SUM($S$4:$S$16)</f>
        <v>1.1169425380164178E-3</v>
      </c>
      <c r="S4" s="22">
        <v>1245</v>
      </c>
      <c r="U4" s="7">
        <v>43</v>
      </c>
      <c r="V4" s="13">
        <f>W4/SUM($W$4:$W$17)</f>
        <v>1.544159884373308E-4</v>
      </c>
      <c r="W4" s="22">
        <v>150</v>
      </c>
      <c r="Y4" s="5">
        <v>58</v>
      </c>
      <c r="Z4" s="15">
        <f>AA4/SUM($AA$4:$AA$18)</f>
        <v>1.0148055907331336E-4</v>
      </c>
      <c r="AA4" s="22">
        <v>96</v>
      </c>
      <c r="AC4" s="7">
        <v>88</v>
      </c>
      <c r="AD4" s="13">
        <f>AE4/SUM($AE$4:$AE$19)</f>
        <v>5.1271534044298608E-5</v>
      </c>
      <c r="AE4" s="22">
        <v>50</v>
      </c>
      <c r="AG4" s="5">
        <v>110</v>
      </c>
      <c r="AH4" s="15">
        <f>AI4/SUM($AI$4:$AI$20)</f>
        <v>1.9395876630587104E-5</v>
      </c>
      <c r="AI4" s="22">
        <v>20</v>
      </c>
    </row>
    <row r="5" spans="1:35" x14ac:dyDescent="0.3">
      <c r="A5" s="8">
        <v>3</v>
      </c>
      <c r="B5" s="13">
        <f t="shared" ref="B5:B12" si="0">C5/SUM($C$4:$C$12)</f>
        <v>2.4739384101598622E-2</v>
      </c>
      <c r="C5" s="20">
        <v>14875</v>
      </c>
      <c r="E5" s="8">
        <v>4</v>
      </c>
      <c r="F5" s="13">
        <f t="shared" ref="F5:F13" si="1">G5/SUM($G$4:$G$13)</f>
        <v>1.3977505326975927E-2</v>
      </c>
      <c r="G5" s="31">
        <v>9328</v>
      </c>
      <c r="I5" s="5">
        <v>5</v>
      </c>
      <c r="J5" s="16">
        <f t="shared" ref="J5:J14" si="2">K5/SUM($K$4:$K$14)</f>
        <v>5.6649347489877841E-3</v>
      </c>
      <c r="K5" s="23">
        <v>5216</v>
      </c>
      <c r="M5" s="5">
        <v>6</v>
      </c>
      <c r="N5" s="16">
        <f t="shared" ref="N5:N15" si="3">O5/SUM($O$4:$O$15)</f>
        <v>3.8967137064956268E-3</v>
      </c>
      <c r="O5" s="23">
        <v>4000</v>
      </c>
      <c r="Q5" s="5">
        <v>11</v>
      </c>
      <c r="R5" s="16">
        <f t="shared" ref="R5:R16" si="4">S5/SUM($S$4:$S$16)</f>
        <v>2.3863993181716236E-3</v>
      </c>
      <c r="S5" s="23">
        <v>2660</v>
      </c>
      <c r="U5" s="8">
        <v>13</v>
      </c>
      <c r="V5" s="13">
        <f t="shared" ref="V5:V17" si="5">W5/SUM($W$4:$W$17)</f>
        <v>6.1766395374932318E-4</v>
      </c>
      <c r="W5" s="23">
        <v>600</v>
      </c>
      <c r="Y5" s="5">
        <v>15</v>
      </c>
      <c r="Z5" s="16">
        <f>AA5/SUM($AA$4:$AA$18)</f>
        <v>6.0254081949779811E-4</v>
      </c>
      <c r="AA5" s="23">
        <v>570</v>
      </c>
      <c r="AC5" s="8">
        <v>18</v>
      </c>
      <c r="AD5" s="13">
        <f t="shared" ref="AD5:AD19" si="6">AE5/SUM($AE$4:$AE$19)</f>
        <v>4.696472518457752E-4</v>
      </c>
      <c r="AE5" s="23">
        <v>458</v>
      </c>
      <c r="AG5" s="5">
        <v>41</v>
      </c>
      <c r="AH5" s="16">
        <f t="shared" ref="AH5:AH20" si="7">AI5/SUM($AI$4:$AI$20)</f>
        <v>2.8511938646963041E-4</v>
      </c>
      <c r="AI5" s="23">
        <v>294</v>
      </c>
    </row>
    <row r="6" spans="1:35" x14ac:dyDescent="0.3">
      <c r="A6" s="8">
        <v>1.3</v>
      </c>
      <c r="B6" s="13">
        <f t="shared" si="0"/>
        <v>0.13618719106953969</v>
      </c>
      <c r="C6" s="20">
        <v>81885</v>
      </c>
      <c r="E6" s="8">
        <v>1.7</v>
      </c>
      <c r="F6" s="13">
        <f t="shared" si="1"/>
        <v>9.7418477039310239E-2</v>
      </c>
      <c r="G6" s="31">
        <v>65013</v>
      </c>
      <c r="I6" s="5">
        <v>2</v>
      </c>
      <c r="J6" s="16">
        <f t="shared" si="2"/>
        <v>4.6749830573270541E-2</v>
      </c>
      <c r="K6" s="23">
        <v>43045</v>
      </c>
      <c r="M6" s="5">
        <v>3</v>
      </c>
      <c r="N6" s="16">
        <f t="shared" si="3"/>
        <v>2.7471831630794169E-2</v>
      </c>
      <c r="O6" s="23">
        <v>28200</v>
      </c>
      <c r="Q6" s="5">
        <v>4</v>
      </c>
      <c r="R6" s="16">
        <f t="shared" si="4"/>
        <v>1.2147310815054053E-2</v>
      </c>
      <c r="S6" s="23">
        <v>13540</v>
      </c>
      <c r="U6" s="8">
        <v>6</v>
      </c>
      <c r="V6" s="13">
        <f t="shared" si="5"/>
        <v>7.7733008579352319E-3</v>
      </c>
      <c r="W6" s="23">
        <v>7551</v>
      </c>
      <c r="Y6" s="5">
        <v>7</v>
      </c>
      <c r="Z6" s="16">
        <f t="shared" ref="Z6:Z18" si="8">AA6/SUM($AA$4:$AA$18)</f>
        <v>4.6511922908601955E-3</v>
      </c>
      <c r="AA6" s="23">
        <v>4400</v>
      </c>
      <c r="AC6" s="8">
        <v>11</v>
      </c>
      <c r="AD6" s="13">
        <f t="shared" si="6"/>
        <v>3.131665299425759E-3</v>
      </c>
      <c r="AE6" s="23">
        <v>3054</v>
      </c>
      <c r="AG6" s="5">
        <v>10</v>
      </c>
      <c r="AH6" s="16">
        <f t="shared" si="7"/>
        <v>1.4886335313975601E-3</v>
      </c>
      <c r="AI6" s="23">
        <v>1535</v>
      </c>
    </row>
    <row r="7" spans="1:35" x14ac:dyDescent="0.3">
      <c r="A7" s="8">
        <v>0.7</v>
      </c>
      <c r="B7" s="13">
        <f t="shared" si="0"/>
        <v>0.23425494122421284</v>
      </c>
      <c r="C7" s="20">
        <v>140850</v>
      </c>
      <c r="E7" s="8">
        <v>0.9</v>
      </c>
      <c r="F7" s="13">
        <f t="shared" si="1"/>
        <v>0.12139361482143017</v>
      </c>
      <c r="G7" s="31">
        <v>81013</v>
      </c>
      <c r="I7" s="5">
        <v>1.4</v>
      </c>
      <c r="J7" s="16">
        <f t="shared" si="2"/>
        <v>0.11521886458025614</v>
      </c>
      <c r="K7" s="23">
        <v>106088</v>
      </c>
      <c r="M7" s="5">
        <v>1.8</v>
      </c>
      <c r="N7" s="16">
        <f t="shared" si="3"/>
        <v>5.884622203864371E-2</v>
      </c>
      <c r="O7" s="23">
        <v>60406</v>
      </c>
      <c r="Q7" s="5">
        <v>2</v>
      </c>
      <c r="R7" s="16">
        <f t="shared" si="4"/>
        <v>4.5136141389673888E-2</v>
      </c>
      <c r="S7" s="23">
        <v>50311</v>
      </c>
      <c r="U7" s="8">
        <v>3</v>
      </c>
      <c r="V7" s="13">
        <f t="shared" si="5"/>
        <v>3.4704478681328636E-2</v>
      </c>
      <c r="W7" s="23">
        <v>33712</v>
      </c>
      <c r="Y7" s="5">
        <v>4</v>
      </c>
      <c r="Z7" s="16">
        <f t="shared" si="8"/>
        <v>1.8304555842848898E-2</v>
      </c>
      <c r="AA7" s="23">
        <v>17316</v>
      </c>
      <c r="AC7" s="8">
        <v>5</v>
      </c>
      <c r="AD7" s="13">
        <f t="shared" si="6"/>
        <v>1.1059269893355209E-2</v>
      </c>
      <c r="AE7" s="23">
        <v>10785</v>
      </c>
      <c r="AG7" s="5">
        <v>5</v>
      </c>
      <c r="AH7" s="16">
        <f t="shared" si="7"/>
        <v>9.2809269677359297E-3</v>
      </c>
      <c r="AI7" s="23">
        <v>9570</v>
      </c>
    </row>
    <row r="8" spans="1:35" x14ac:dyDescent="0.3">
      <c r="A8" s="8">
        <v>0.4</v>
      </c>
      <c r="B8" s="13">
        <f t="shared" si="0"/>
        <v>0.20680960902625783</v>
      </c>
      <c r="C8" s="20">
        <v>124348</v>
      </c>
      <c r="E8" s="8">
        <v>0.5</v>
      </c>
      <c r="F8" s="13">
        <f t="shared" si="1"/>
        <v>0.26660353213717375</v>
      </c>
      <c r="G8" s="31">
        <v>177920</v>
      </c>
      <c r="I8" s="5">
        <v>0.6</v>
      </c>
      <c r="J8" s="16">
        <f t="shared" si="2"/>
        <v>0.21729846907744974</v>
      </c>
      <c r="K8" s="23">
        <v>200078</v>
      </c>
      <c r="M8" s="5">
        <v>0.7</v>
      </c>
      <c r="N8" s="16">
        <f t="shared" si="3"/>
        <v>0.13657981541267172</v>
      </c>
      <c r="O8" s="23">
        <v>140200</v>
      </c>
      <c r="Q8" s="5">
        <v>1.1000000000000001</v>
      </c>
      <c r="R8" s="16">
        <f t="shared" si="4"/>
        <v>0.11335396761315211</v>
      </c>
      <c r="S8" s="23">
        <v>126350</v>
      </c>
      <c r="U8" s="8">
        <v>1.3</v>
      </c>
      <c r="V8" s="13">
        <f t="shared" si="5"/>
        <v>8.9849516472068208E-2</v>
      </c>
      <c r="W8" s="23">
        <v>87280</v>
      </c>
      <c r="Y8" s="5">
        <v>1.9</v>
      </c>
      <c r="Z8" s="16">
        <f t="shared" si="8"/>
        <v>6.4372501305505106E-2</v>
      </c>
      <c r="AA8" s="23">
        <v>60896</v>
      </c>
      <c r="AC8" s="8">
        <v>3</v>
      </c>
      <c r="AD8" s="13">
        <f t="shared" si="6"/>
        <v>4.2715340442986055E-2</v>
      </c>
      <c r="AE8" s="23">
        <v>41656</v>
      </c>
      <c r="AG8" s="5">
        <v>3</v>
      </c>
      <c r="AH8" s="16">
        <f t="shared" si="7"/>
        <v>2.5962350663872369E-2</v>
      </c>
      <c r="AI8" s="23">
        <v>26771</v>
      </c>
    </row>
    <row r="9" spans="1:35" x14ac:dyDescent="0.3">
      <c r="A9" s="8">
        <v>0.7</v>
      </c>
      <c r="B9" s="13">
        <f t="shared" si="0"/>
        <v>0.23425494122421284</v>
      </c>
      <c r="C9" s="20">
        <v>140850</v>
      </c>
      <c r="E9" s="8">
        <v>0.5</v>
      </c>
      <c r="F9" s="13">
        <f t="shared" si="1"/>
        <v>0.26660353213717375</v>
      </c>
      <c r="G9" s="31">
        <v>177920</v>
      </c>
      <c r="I9" s="5">
        <v>0.4</v>
      </c>
      <c r="J9" s="16">
        <f t="shared" si="2"/>
        <v>0.22870219125236763</v>
      </c>
      <c r="K9" s="23">
        <v>210578</v>
      </c>
      <c r="M9" s="5">
        <v>0.5</v>
      </c>
      <c r="N9" s="16">
        <f t="shared" si="3"/>
        <v>0.27188248290803951</v>
      </c>
      <c r="O9" s="23">
        <v>279089</v>
      </c>
      <c r="Q9" s="5">
        <v>0.6</v>
      </c>
      <c r="R9" s="16">
        <f t="shared" si="4"/>
        <v>0.16879738034360561</v>
      </c>
      <c r="S9" s="23">
        <v>188150</v>
      </c>
      <c r="U9" s="8">
        <v>0.7</v>
      </c>
      <c r="V9" s="13">
        <f t="shared" si="5"/>
        <v>0.15340096067333606</v>
      </c>
      <c r="W9" s="23">
        <v>149014</v>
      </c>
      <c r="Y9" s="5">
        <v>1</v>
      </c>
      <c r="Z9" s="16">
        <f t="shared" si="8"/>
        <v>0.12705365995978832</v>
      </c>
      <c r="AA9" s="23">
        <v>120192</v>
      </c>
      <c r="AC9" s="8">
        <v>1.3</v>
      </c>
      <c r="AD9" s="13">
        <f t="shared" si="6"/>
        <v>8.3720262510254301E-2</v>
      </c>
      <c r="AE9" s="23">
        <v>81644</v>
      </c>
      <c r="AG9" s="5">
        <v>1.5</v>
      </c>
      <c r="AH9" s="16">
        <f t="shared" si="7"/>
        <v>6.2212274292608137E-2</v>
      </c>
      <c r="AI9" s="23">
        <v>64150</v>
      </c>
    </row>
    <row r="10" spans="1:35" x14ac:dyDescent="0.3">
      <c r="A10" s="8">
        <v>1.3</v>
      </c>
      <c r="B10" s="13">
        <f t="shared" si="0"/>
        <v>0.13618719106953969</v>
      </c>
      <c r="C10" s="20">
        <v>81885</v>
      </c>
      <c r="E10" s="8">
        <v>0.9</v>
      </c>
      <c r="F10" s="13">
        <f t="shared" si="1"/>
        <v>0.12139361482143017</v>
      </c>
      <c r="G10" s="31">
        <v>81013</v>
      </c>
      <c r="I10" s="5">
        <v>0.6</v>
      </c>
      <c r="J10" s="16">
        <f t="shared" si="2"/>
        <v>0.21729846907744974</v>
      </c>
      <c r="K10" s="23">
        <v>200078</v>
      </c>
      <c r="M10" s="5">
        <v>0.5</v>
      </c>
      <c r="N10" s="16">
        <f t="shared" si="3"/>
        <v>0.27188248290803951</v>
      </c>
      <c r="O10" s="23">
        <v>279089</v>
      </c>
      <c r="Q10" s="5">
        <v>0.3</v>
      </c>
      <c r="R10" s="16">
        <f t="shared" si="4"/>
        <v>0.31414165881666889</v>
      </c>
      <c r="S10" s="23">
        <v>350158</v>
      </c>
      <c r="U10" s="8">
        <v>0.4</v>
      </c>
      <c r="V10" s="13">
        <f t="shared" si="5"/>
        <v>0.21298494341168744</v>
      </c>
      <c r="W10" s="23">
        <v>206894</v>
      </c>
      <c r="Y10" s="5">
        <v>0.5</v>
      </c>
      <c r="Z10" s="16">
        <f t="shared" si="8"/>
        <v>0.15987416410674909</v>
      </c>
      <c r="AA10" s="23">
        <v>151240</v>
      </c>
      <c r="AC10" s="8">
        <v>0.5</v>
      </c>
      <c r="AD10" s="13">
        <f t="shared" si="6"/>
        <v>0.13816755537325676</v>
      </c>
      <c r="AE10" s="23">
        <v>134741</v>
      </c>
      <c r="AG10" s="5">
        <v>1</v>
      </c>
      <c r="AH10" s="16">
        <f t="shared" si="7"/>
        <v>9.7165583568589148E-2</v>
      </c>
      <c r="AI10" s="23">
        <v>100192</v>
      </c>
    </row>
    <row r="11" spans="1:35" x14ac:dyDescent="0.3">
      <c r="A11" s="8">
        <v>3</v>
      </c>
      <c r="B11" s="13">
        <f t="shared" si="0"/>
        <v>2.4739384101598622E-2</v>
      </c>
      <c r="C11" s="20">
        <v>14875</v>
      </c>
      <c r="E11" s="8">
        <v>1.7</v>
      </c>
      <c r="F11" s="13">
        <f t="shared" si="1"/>
        <v>9.7418477039310239E-2</v>
      </c>
      <c r="G11" s="31">
        <v>65013</v>
      </c>
      <c r="I11" s="5">
        <v>1.4</v>
      </c>
      <c r="J11" s="16">
        <f t="shared" si="2"/>
        <v>0.11521886458025614</v>
      </c>
      <c r="K11" s="23">
        <v>106088</v>
      </c>
      <c r="M11" s="5">
        <v>0.7</v>
      </c>
      <c r="N11" s="16">
        <f t="shared" si="3"/>
        <v>0.13657981541267172</v>
      </c>
      <c r="O11" s="23">
        <v>140200</v>
      </c>
      <c r="Q11" s="5">
        <v>0.6</v>
      </c>
      <c r="R11" s="16">
        <f t="shared" si="4"/>
        <v>0.16879738034360561</v>
      </c>
      <c r="S11" s="23">
        <v>188150</v>
      </c>
      <c r="U11" s="8">
        <v>0.4</v>
      </c>
      <c r="V11" s="13">
        <f t="shared" si="5"/>
        <v>0.21401438333460299</v>
      </c>
      <c r="W11" s="23">
        <v>207894</v>
      </c>
      <c r="Y11" s="5">
        <v>0.2</v>
      </c>
      <c r="Z11" s="16">
        <f t="shared" si="8"/>
        <v>0.25007981023135456</v>
      </c>
      <c r="AA11" s="23">
        <v>236574</v>
      </c>
      <c r="AC11" s="8">
        <v>0.3</v>
      </c>
      <c r="AD11" s="13">
        <f t="shared" si="6"/>
        <v>0.22068498769483183</v>
      </c>
      <c r="AE11" s="23">
        <v>215212</v>
      </c>
      <c r="AG11" s="5">
        <v>0.5</v>
      </c>
      <c r="AH11" s="16">
        <f t="shared" si="7"/>
        <v>0.2021641919144409</v>
      </c>
      <c r="AI11" s="23">
        <v>208461</v>
      </c>
    </row>
    <row r="12" spans="1:35" ht="15" thickBot="1" x14ac:dyDescent="0.35">
      <c r="A12" s="9">
        <v>13</v>
      </c>
      <c r="B12" s="14">
        <f t="shared" si="0"/>
        <v>1.4136790915199211E-3</v>
      </c>
      <c r="C12" s="21">
        <v>850</v>
      </c>
      <c r="E12" s="8">
        <v>4</v>
      </c>
      <c r="F12" s="13">
        <f t="shared" si="1"/>
        <v>1.3977505326975927E-2</v>
      </c>
      <c r="G12" s="31">
        <v>9328</v>
      </c>
      <c r="I12" s="5">
        <v>2</v>
      </c>
      <c r="J12" s="16">
        <f t="shared" si="2"/>
        <v>4.6749830573270541E-2</v>
      </c>
      <c r="K12" s="23">
        <v>43045</v>
      </c>
      <c r="M12" s="5">
        <v>1.8</v>
      </c>
      <c r="N12" s="16">
        <f t="shared" si="3"/>
        <v>5.884622203864371E-2</v>
      </c>
      <c r="O12" s="23">
        <v>60406</v>
      </c>
      <c r="Q12" s="5">
        <v>1.1000000000000001</v>
      </c>
      <c r="R12" s="16">
        <f t="shared" si="4"/>
        <v>0.11335396761315211</v>
      </c>
      <c r="S12" s="23">
        <v>126350</v>
      </c>
      <c r="U12" s="8">
        <v>0.7</v>
      </c>
      <c r="V12" s="13">
        <f t="shared" si="5"/>
        <v>0.15340096067333606</v>
      </c>
      <c r="W12" s="23">
        <v>149014</v>
      </c>
      <c r="Y12" s="5">
        <v>0.5</v>
      </c>
      <c r="Z12" s="16">
        <f t="shared" si="8"/>
        <v>0.15987416410674909</v>
      </c>
      <c r="AA12" s="23">
        <v>151240</v>
      </c>
      <c r="AC12" s="8">
        <v>0.3</v>
      </c>
      <c r="AD12" s="13">
        <f t="shared" si="6"/>
        <v>0.22068498769483183</v>
      </c>
      <c r="AE12" s="23">
        <v>215212</v>
      </c>
      <c r="AG12" s="5">
        <v>0.3</v>
      </c>
      <c r="AH12" s="16">
        <f t="shared" si="7"/>
        <v>0.20284304759651145</v>
      </c>
      <c r="AI12" s="23">
        <v>209161</v>
      </c>
    </row>
    <row r="13" spans="1:35" ht="15" thickBot="1" x14ac:dyDescent="0.35">
      <c r="E13" s="9">
        <v>18</v>
      </c>
      <c r="F13" s="14">
        <f t="shared" si="1"/>
        <v>6.0687067510991103E-4</v>
      </c>
      <c r="G13" s="32">
        <v>405</v>
      </c>
      <c r="I13" s="5">
        <v>5</v>
      </c>
      <c r="J13" s="16">
        <f t="shared" si="2"/>
        <v>5.6649347489877841E-3</v>
      </c>
      <c r="K13" s="23">
        <v>5216</v>
      </c>
      <c r="M13" s="5">
        <v>3</v>
      </c>
      <c r="N13" s="16">
        <f t="shared" si="3"/>
        <v>2.7471831630794169E-2</v>
      </c>
      <c r="O13" s="23">
        <v>28200</v>
      </c>
      <c r="Q13" s="5">
        <v>2</v>
      </c>
      <c r="R13" s="16">
        <f t="shared" si="4"/>
        <v>4.5136141389673888E-2</v>
      </c>
      <c r="S13" s="23">
        <v>50311</v>
      </c>
      <c r="U13" s="8">
        <v>1.3</v>
      </c>
      <c r="V13" s="13">
        <f t="shared" si="5"/>
        <v>8.9849516472068208E-2</v>
      </c>
      <c r="W13" s="23">
        <v>87280</v>
      </c>
      <c r="Y13" s="5">
        <v>1</v>
      </c>
      <c r="Z13" s="16">
        <f t="shared" si="8"/>
        <v>0.12705365995978832</v>
      </c>
      <c r="AA13" s="23">
        <v>120192</v>
      </c>
      <c r="AC13" s="8">
        <v>0.5</v>
      </c>
      <c r="AD13" s="13">
        <f t="shared" si="6"/>
        <v>0.13816755537325676</v>
      </c>
      <c r="AE13" s="23">
        <v>134741</v>
      </c>
      <c r="AG13" s="5">
        <v>0.5</v>
      </c>
      <c r="AH13" s="16">
        <f t="shared" si="7"/>
        <v>0.2021641919144409</v>
      </c>
      <c r="AI13" s="23">
        <v>208461</v>
      </c>
    </row>
    <row r="14" spans="1:35" ht="15" thickBot="1" x14ac:dyDescent="0.35">
      <c r="A14" t="s">
        <v>4</v>
      </c>
      <c r="B14" s="1">
        <f>SUMPRODUCT(A4:A12,C4:C12)/SUM(C4:C12)</f>
        <v>0.94995941909431392</v>
      </c>
      <c r="C14" s="1"/>
      <c r="I14" s="6">
        <v>22</v>
      </c>
      <c r="J14" s="17">
        <f t="shared" si="2"/>
        <v>7.1680539385198189E-4</v>
      </c>
      <c r="K14" s="24">
        <v>660</v>
      </c>
      <c r="M14" s="5">
        <v>6</v>
      </c>
      <c r="N14" s="16">
        <f t="shared" si="3"/>
        <v>3.8967137064956268E-3</v>
      </c>
      <c r="O14" s="23">
        <v>4000</v>
      </c>
      <c r="Q14" s="5">
        <v>4</v>
      </c>
      <c r="R14" s="16">
        <f t="shared" si="4"/>
        <v>1.2129367963037724E-2</v>
      </c>
      <c r="S14" s="23">
        <v>13520</v>
      </c>
      <c r="U14" s="8">
        <v>3</v>
      </c>
      <c r="V14" s="13">
        <f t="shared" si="5"/>
        <v>3.4704478681328636E-2</v>
      </c>
      <c r="W14" s="23">
        <v>33712</v>
      </c>
      <c r="Y14" s="5">
        <v>1.9</v>
      </c>
      <c r="Z14" s="16">
        <f t="shared" si="8"/>
        <v>6.4372501305505106E-2</v>
      </c>
      <c r="AA14" s="23">
        <v>60896</v>
      </c>
      <c r="AC14" s="8">
        <v>1.3</v>
      </c>
      <c r="AD14" s="13">
        <f t="shared" si="6"/>
        <v>8.3720262510254301E-2</v>
      </c>
      <c r="AE14" s="23">
        <v>81644</v>
      </c>
      <c r="AG14" s="5">
        <v>1</v>
      </c>
      <c r="AH14" s="16">
        <f t="shared" si="7"/>
        <v>9.7165583568589148E-2</v>
      </c>
      <c r="AI14" s="23">
        <v>100192</v>
      </c>
    </row>
    <row r="15" spans="1:35" ht="15" thickBot="1" x14ac:dyDescent="0.35">
      <c r="E15" t="s">
        <v>4</v>
      </c>
      <c r="F15" s="1">
        <f>SUMPRODUCT(E4:E13,G4:G13)/SUM(G4:G13)</f>
        <v>0.95000224766916708</v>
      </c>
      <c r="M15" s="6">
        <v>24</v>
      </c>
      <c r="N15" s="17">
        <f t="shared" si="3"/>
        <v>1.3229343033552654E-3</v>
      </c>
      <c r="O15" s="24">
        <v>1358</v>
      </c>
      <c r="Q15" s="5">
        <v>11</v>
      </c>
      <c r="R15" s="16">
        <f t="shared" si="4"/>
        <v>2.3863993181716236E-3</v>
      </c>
      <c r="S15" s="23">
        <v>2660</v>
      </c>
      <c r="U15" s="8">
        <v>6</v>
      </c>
      <c r="V15" s="13">
        <f t="shared" si="5"/>
        <v>7.7733008579352319E-3</v>
      </c>
      <c r="W15" s="23">
        <v>7551</v>
      </c>
      <c r="Y15" s="5">
        <v>4</v>
      </c>
      <c r="Z15" s="16">
        <f t="shared" si="8"/>
        <v>1.8304555842848898E-2</v>
      </c>
      <c r="AA15" s="23">
        <v>17316</v>
      </c>
      <c r="AC15" s="8">
        <v>3</v>
      </c>
      <c r="AD15" s="13">
        <f t="shared" si="6"/>
        <v>4.2715340442986055E-2</v>
      </c>
      <c r="AE15" s="23">
        <v>41656</v>
      </c>
      <c r="AG15" s="5">
        <v>1.5</v>
      </c>
      <c r="AH15" s="16">
        <f t="shared" si="7"/>
        <v>6.2212274292608137E-2</v>
      </c>
      <c r="AI15" s="23">
        <v>64150</v>
      </c>
    </row>
    <row r="16" spans="1:35" ht="15" thickBot="1" x14ac:dyDescent="0.35">
      <c r="B16" s="25"/>
      <c r="I16" t="s">
        <v>4</v>
      </c>
      <c r="J16" s="1">
        <f>SUMPRODUCT(I4:I14,J4:J14)</f>
        <v>0.95003996733105112</v>
      </c>
      <c r="K16" s="1"/>
      <c r="Q16" s="6">
        <v>33</v>
      </c>
      <c r="R16" s="17">
        <f t="shared" si="4"/>
        <v>1.1169425380164178E-3</v>
      </c>
      <c r="S16" s="24">
        <v>1245</v>
      </c>
      <c r="U16" s="8">
        <v>13</v>
      </c>
      <c r="V16" s="13">
        <f t="shared" si="5"/>
        <v>6.1766395374932318E-4</v>
      </c>
      <c r="W16" s="23">
        <v>600</v>
      </c>
      <c r="Y16" s="5">
        <v>7</v>
      </c>
      <c r="Z16" s="16">
        <f t="shared" si="8"/>
        <v>4.6511922908601955E-3</v>
      </c>
      <c r="AA16" s="23">
        <v>4400</v>
      </c>
      <c r="AC16" s="8">
        <v>5</v>
      </c>
      <c r="AD16" s="13">
        <f t="shared" si="6"/>
        <v>1.1059269893355209E-2</v>
      </c>
      <c r="AE16" s="23">
        <v>10785</v>
      </c>
      <c r="AG16" s="5">
        <v>3</v>
      </c>
      <c r="AH16" s="16">
        <f t="shared" si="7"/>
        <v>2.5962350663872369E-2</v>
      </c>
      <c r="AI16" s="23">
        <v>26771</v>
      </c>
    </row>
    <row r="17" spans="2:35" ht="15" thickBot="1" x14ac:dyDescent="0.35">
      <c r="F17" s="28"/>
      <c r="M17" t="s">
        <v>4</v>
      </c>
      <c r="N17" s="1">
        <f>SUMPRODUCT(M4:M15,O4:O15)/SUM(O4:O15)</f>
        <v>0.95003302464866268</v>
      </c>
      <c r="O17" s="1"/>
      <c r="U17" s="9">
        <v>43</v>
      </c>
      <c r="V17" s="14">
        <f t="shared" si="5"/>
        <v>1.544159884373308E-4</v>
      </c>
      <c r="W17" s="24">
        <v>150</v>
      </c>
      <c r="Y17" s="5">
        <v>15</v>
      </c>
      <c r="Z17" s="16">
        <f t="shared" si="8"/>
        <v>6.0254081949779811E-4</v>
      </c>
      <c r="AA17" s="23">
        <v>570</v>
      </c>
      <c r="AC17" s="8">
        <v>11</v>
      </c>
      <c r="AD17" s="13">
        <f t="shared" si="6"/>
        <v>3.131665299425759E-3</v>
      </c>
      <c r="AE17" s="23">
        <v>3054</v>
      </c>
      <c r="AG17" s="5">
        <v>5</v>
      </c>
      <c r="AH17" s="16">
        <f t="shared" si="7"/>
        <v>9.2809269677359297E-3</v>
      </c>
      <c r="AI17" s="23">
        <v>9570</v>
      </c>
    </row>
    <row r="18" spans="2:35" ht="15" thickBot="1" x14ac:dyDescent="0.35">
      <c r="J18" s="28"/>
      <c r="Q18" t="s">
        <v>4</v>
      </c>
      <c r="R18" s="1">
        <f>SUMPRODUCT(Q4:Q16,S4:S16)/SUM(S4:S16)</f>
        <v>0.95004835598618387</v>
      </c>
      <c r="S18" s="1"/>
      <c r="Y18" s="6">
        <v>58</v>
      </c>
      <c r="Z18" s="17">
        <f t="shared" si="8"/>
        <v>1.0148055907331336E-4</v>
      </c>
      <c r="AA18" s="24">
        <v>96</v>
      </c>
      <c r="AC18" s="8">
        <v>18</v>
      </c>
      <c r="AD18" s="13">
        <f t="shared" si="6"/>
        <v>4.696472518457752E-4</v>
      </c>
      <c r="AE18" s="23">
        <v>458</v>
      </c>
      <c r="AG18" s="5">
        <v>10</v>
      </c>
      <c r="AH18" s="16">
        <f t="shared" si="7"/>
        <v>1.4886335313975601E-3</v>
      </c>
      <c r="AI18" s="23">
        <v>1535</v>
      </c>
    </row>
    <row r="19" spans="2:35" ht="15" thickBot="1" x14ac:dyDescent="0.35">
      <c r="F19" s="27"/>
      <c r="N19" s="28"/>
      <c r="U19" t="s">
        <v>4</v>
      </c>
      <c r="V19" s="1">
        <f>SUMPRODUCT(U4:U17,V4:V17)</f>
        <v>0.95001533865485144</v>
      </c>
      <c r="W19" s="1"/>
      <c r="AC19" s="9">
        <v>88</v>
      </c>
      <c r="AD19" s="14">
        <f t="shared" si="6"/>
        <v>5.1271534044298608E-5</v>
      </c>
      <c r="AE19" s="24">
        <v>50</v>
      </c>
      <c r="AG19" s="5">
        <v>41</v>
      </c>
      <c r="AH19" s="16">
        <f t="shared" si="7"/>
        <v>2.8511938646963041E-4</v>
      </c>
      <c r="AI19" s="23">
        <v>294</v>
      </c>
    </row>
    <row r="20" spans="2:35" ht="15" thickBot="1" x14ac:dyDescent="0.35">
      <c r="B20" s="26"/>
      <c r="Y20" t="s">
        <v>4</v>
      </c>
      <c r="Z20" s="1">
        <f>SUMPRODUCT(Y4:Y18,Z4:Z18)</f>
        <v>0.9500140592857883</v>
      </c>
      <c r="AA20" s="1"/>
      <c r="AG20" s="6">
        <v>110</v>
      </c>
      <c r="AH20" s="17">
        <f t="shared" si="7"/>
        <v>1.9395876630587104E-5</v>
      </c>
      <c r="AI20" s="24">
        <v>20</v>
      </c>
    </row>
    <row r="21" spans="2:35" x14ac:dyDescent="0.3">
      <c r="V21" s="28"/>
      <c r="AC21" t="s">
        <v>4</v>
      </c>
      <c r="AD21" s="1">
        <f>SUMPRODUCT(AC4:AC19,AD4:AD19)</f>
        <v>0.94996369975389672</v>
      </c>
      <c r="AE21" s="1"/>
    </row>
    <row r="22" spans="2:35" x14ac:dyDescent="0.3">
      <c r="AG22" t="s">
        <v>4</v>
      </c>
      <c r="AH22" s="1">
        <f>SUMPRODUCT(AG4:AG20,AH4:AH20)</f>
        <v>0.94998802304618069</v>
      </c>
    </row>
    <row r="23" spans="2:35" x14ac:dyDescent="0.3">
      <c r="AD23" s="28"/>
    </row>
    <row r="24" spans="2:35" x14ac:dyDescent="0.3">
      <c r="AH24" s="2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EF018-F412-4395-993F-646D1CD0CF5F}">
  <dimension ref="A2:AI24"/>
  <sheetViews>
    <sheetView topLeftCell="U1" workbookViewId="0">
      <selection activeCell="AI6" sqref="AI6"/>
    </sheetView>
  </sheetViews>
  <sheetFormatPr defaultRowHeight="14.4" x14ac:dyDescent="0.3"/>
  <cols>
    <col min="2" max="2" width="9.6640625" bestFit="1" customWidth="1"/>
    <col min="3" max="3" width="12.21875" customWidth="1"/>
    <col min="6" max="6" width="11" customWidth="1"/>
    <col min="10" max="10" width="9.6640625" bestFit="1" customWidth="1"/>
    <col min="11" max="11" width="9.6640625" customWidth="1"/>
    <col min="14" max="15" width="10.33203125" customWidth="1"/>
    <col min="18" max="18" width="9.6640625" bestFit="1" customWidth="1"/>
    <col min="19" max="19" width="9.6640625" customWidth="1"/>
    <col min="22" max="23" width="9.44140625" customWidth="1"/>
    <col min="26" max="27" width="10.109375" customWidth="1"/>
    <col min="30" max="31" width="9.5546875" customWidth="1"/>
    <col min="34" max="34" width="10.109375" customWidth="1"/>
    <col min="35" max="35" width="10" bestFit="1" customWidth="1"/>
  </cols>
  <sheetData>
    <row r="2" spans="1:35" ht="15" thickBot="1" x14ac:dyDescent="0.35">
      <c r="A2" s="2" t="s">
        <v>0</v>
      </c>
      <c r="E2" s="2" t="s">
        <v>5</v>
      </c>
      <c r="I2" s="2" t="s">
        <v>6</v>
      </c>
      <c r="M2" s="2" t="s">
        <v>7</v>
      </c>
      <c r="Q2" s="2" t="s">
        <v>8</v>
      </c>
      <c r="U2" s="2" t="s">
        <v>9</v>
      </c>
      <c r="Y2" s="2" t="s">
        <v>10</v>
      </c>
      <c r="AC2" s="2" t="s">
        <v>11</v>
      </c>
      <c r="AG2" s="2" t="s">
        <v>12</v>
      </c>
    </row>
    <row r="3" spans="1:35" ht="15" thickBot="1" x14ac:dyDescent="0.35">
      <c r="A3" s="10" t="s">
        <v>1</v>
      </c>
      <c r="B3" s="11" t="s">
        <v>2</v>
      </c>
      <c r="C3" s="10" t="s">
        <v>3</v>
      </c>
      <c r="E3" s="3" t="s">
        <v>1</v>
      </c>
      <c r="F3" s="10" t="s">
        <v>2</v>
      </c>
      <c r="G3" s="10" t="s">
        <v>3</v>
      </c>
      <c r="I3" s="12" t="s">
        <v>1</v>
      </c>
      <c r="J3" s="10" t="s">
        <v>2</v>
      </c>
      <c r="K3" s="7" t="s">
        <v>3</v>
      </c>
      <c r="M3" s="10" t="s">
        <v>1</v>
      </c>
      <c r="N3" s="10" t="s">
        <v>2</v>
      </c>
      <c r="O3" s="7" t="s">
        <v>3</v>
      </c>
      <c r="Q3" s="12" t="s">
        <v>1</v>
      </c>
      <c r="R3" s="11" t="s">
        <v>2</v>
      </c>
      <c r="S3" s="7" t="s">
        <v>3</v>
      </c>
      <c r="U3" s="3" t="s">
        <v>1</v>
      </c>
      <c r="V3" s="10" t="s">
        <v>2</v>
      </c>
      <c r="W3" s="7" t="s">
        <v>3</v>
      </c>
      <c r="Y3" s="10" t="s">
        <v>1</v>
      </c>
      <c r="Z3" s="4" t="s">
        <v>2</v>
      </c>
      <c r="AA3" s="7" t="s">
        <v>3</v>
      </c>
      <c r="AC3" s="10" t="s">
        <v>1</v>
      </c>
      <c r="AD3" s="10" t="s">
        <v>2</v>
      </c>
      <c r="AE3" s="4" t="s">
        <v>3</v>
      </c>
      <c r="AG3" s="10" t="s">
        <v>1</v>
      </c>
      <c r="AH3" s="4" t="s">
        <v>2</v>
      </c>
      <c r="AI3" s="4" t="s">
        <v>3</v>
      </c>
    </row>
    <row r="4" spans="1:35" x14ac:dyDescent="0.3">
      <c r="A4" s="8">
        <v>29</v>
      </c>
      <c r="B4" s="13">
        <f>C4/SUM($C$4:$C$12)</f>
        <v>1.6050940018581324E-3</v>
      </c>
      <c r="C4" s="19">
        <v>850</v>
      </c>
      <c r="E4" s="7">
        <v>43</v>
      </c>
      <c r="F4" s="29">
        <f>G4/SUM($G$4:$G$13)</f>
        <v>3.0126831702762934E-3</v>
      </c>
      <c r="G4" s="19">
        <v>2801</v>
      </c>
      <c r="H4" s="18"/>
      <c r="I4" s="5">
        <v>76</v>
      </c>
      <c r="J4" s="16">
        <f>K4/SUM($K$4:$K$14)</f>
        <v>1.326447037917436E-3</v>
      </c>
      <c r="K4" s="22">
        <v>1260</v>
      </c>
      <c r="M4" s="5">
        <v>120</v>
      </c>
      <c r="N4" s="16">
        <f>O4/SUM($O$4:$O$15)</f>
        <v>1.0716054791654066E-3</v>
      </c>
      <c r="O4" s="22">
        <v>1311</v>
      </c>
      <c r="Q4" s="5">
        <v>170</v>
      </c>
      <c r="R4" s="15">
        <f>S4/SUM($S$4:$S$16)</f>
        <v>2.5065425876931826E-4</v>
      </c>
      <c r="S4" s="22">
        <v>245</v>
      </c>
      <c r="U4" s="7">
        <v>260</v>
      </c>
      <c r="V4" s="13">
        <f>W4/SUM($W$4:$W$17)</f>
        <v>2.0179230205302201E-4</v>
      </c>
      <c r="W4" s="22">
        <v>188</v>
      </c>
      <c r="Y4" s="5">
        <v>420</v>
      </c>
      <c r="Z4" s="15">
        <f>AA4/SUM($AA$4:$AA$18)</f>
        <v>1.1336991543875746E-4</v>
      </c>
      <c r="AA4" s="22">
        <v>107</v>
      </c>
      <c r="AC4" s="7">
        <v>620</v>
      </c>
      <c r="AD4" s="13">
        <f>AE4/SUM($AE$4:$AE$19)</f>
        <v>4.948074901978636E-5</v>
      </c>
      <c r="AE4" s="22">
        <v>50</v>
      </c>
      <c r="AG4" s="5">
        <v>1000</v>
      </c>
      <c r="AH4" s="15">
        <f>AI4/SUM($AI$4:$AI$20)</f>
        <v>2.6186354742032803E-5</v>
      </c>
      <c r="AI4" s="22">
        <v>29</v>
      </c>
    </row>
    <row r="5" spans="1:35" x14ac:dyDescent="0.3">
      <c r="A5" s="8">
        <v>4</v>
      </c>
      <c r="B5" s="13">
        <f t="shared" ref="B5:B12" si="0">C5/SUM($C$4:$C$12)</f>
        <v>2.8089145032517315E-2</v>
      </c>
      <c r="C5" s="20">
        <v>14875</v>
      </c>
      <c r="E5" s="8">
        <v>7</v>
      </c>
      <c r="F5" s="29">
        <f t="shared" ref="F5:F13" si="1">G5/SUM($G$4:$G$13)</f>
        <v>9.9436829379522789E-3</v>
      </c>
      <c r="G5" s="31">
        <v>9245</v>
      </c>
      <c r="I5" s="5">
        <v>10</v>
      </c>
      <c r="J5" s="16">
        <f t="shared" ref="J5:J14" si="2">K5/SUM($K$4:$K$14)</f>
        <v>5.4910696426804335E-3</v>
      </c>
      <c r="K5" s="23">
        <v>5216</v>
      </c>
      <c r="M5" s="5">
        <v>14</v>
      </c>
      <c r="N5" s="16">
        <f t="shared" ref="N5:N15" si="3">O5/SUM($O$4:$O$15)</f>
        <v>3.2695819349058933E-3</v>
      </c>
      <c r="O5" s="23">
        <v>4000</v>
      </c>
      <c r="Q5" s="5">
        <v>24</v>
      </c>
      <c r="R5" s="16">
        <f t="shared" ref="R5:R16" si="4">S5/SUM($S$4:$S$16)</f>
        <v>2.7213890952097414E-3</v>
      </c>
      <c r="S5" s="23">
        <v>2660</v>
      </c>
      <c r="U5" s="8">
        <v>37</v>
      </c>
      <c r="V5" s="13">
        <f t="shared" ref="V5:V17" si="5">W5/SUM($W$4:$W$17)</f>
        <v>6.4401798527560208E-4</v>
      </c>
      <c r="W5" s="23">
        <v>600</v>
      </c>
      <c r="Y5" s="5">
        <v>56</v>
      </c>
      <c r="Z5" s="16">
        <f>AA5/SUM($AA$4:$AA$18)</f>
        <v>6.0393319439338092E-4</v>
      </c>
      <c r="AA5" s="23">
        <v>570</v>
      </c>
      <c r="AC5" s="8">
        <v>83</v>
      </c>
      <c r="AD5" s="13">
        <f t="shared" ref="AD5:AD19" si="6">AE5/SUM($AE$4:$AE$19)</f>
        <v>4.532436610212431E-4</v>
      </c>
      <c r="AE5" s="23">
        <v>458</v>
      </c>
      <c r="AG5" s="5">
        <v>130</v>
      </c>
      <c r="AH5" s="16">
        <f t="shared" ref="AH5:AH20" si="7">AI5/SUM($AI$4:$AI$20)</f>
        <v>2.6457248066950385E-4</v>
      </c>
      <c r="AI5" s="23">
        <v>293</v>
      </c>
    </row>
    <row r="6" spans="1:35" x14ac:dyDescent="0.3">
      <c r="A6" s="8">
        <v>1.5</v>
      </c>
      <c r="B6" s="13">
        <f t="shared" si="0"/>
        <v>0.15462720275547431</v>
      </c>
      <c r="C6" s="20">
        <v>81885</v>
      </c>
      <c r="E6" s="8">
        <v>2</v>
      </c>
      <c r="F6" s="29">
        <f t="shared" si="1"/>
        <v>7.0033859073973692E-2</v>
      </c>
      <c r="G6" s="31">
        <v>65113</v>
      </c>
      <c r="I6" s="5">
        <v>3</v>
      </c>
      <c r="J6" s="16">
        <f t="shared" si="2"/>
        <v>4.5315010116790504E-2</v>
      </c>
      <c r="K6" s="23">
        <v>43045</v>
      </c>
      <c r="M6" s="5">
        <v>5.2</v>
      </c>
      <c r="N6" s="16">
        <f t="shared" si="3"/>
        <v>2.3050552641086547E-2</v>
      </c>
      <c r="O6" s="23">
        <v>28200</v>
      </c>
      <c r="Q6" s="5">
        <v>8.1</v>
      </c>
      <c r="R6" s="16">
        <f t="shared" si="4"/>
        <v>1.3852484341781917E-2</v>
      </c>
      <c r="S6" s="23">
        <v>13540</v>
      </c>
      <c r="U6" s="8">
        <v>11</v>
      </c>
      <c r="V6" s="13">
        <f t="shared" si="5"/>
        <v>8.0985261648406966E-3</v>
      </c>
      <c r="W6" s="23">
        <v>7545</v>
      </c>
      <c r="Y6" s="5">
        <v>18</v>
      </c>
      <c r="Z6" s="16">
        <f t="shared" ref="Z6:Z18" si="8">AA6/SUM($AA$4:$AA$18)</f>
        <v>4.6619404479489052E-3</v>
      </c>
      <c r="AA6" s="23">
        <v>4400</v>
      </c>
      <c r="AC6" s="8">
        <v>27</v>
      </c>
      <c r="AD6" s="13">
        <f t="shared" si="6"/>
        <v>3.0222841501285512E-3</v>
      </c>
      <c r="AE6" s="23">
        <v>3054</v>
      </c>
      <c r="AG6" s="5">
        <v>26</v>
      </c>
      <c r="AH6" s="16">
        <f t="shared" si="7"/>
        <v>1.3860708458282879E-3</v>
      </c>
      <c r="AI6" s="23">
        <v>1535</v>
      </c>
    </row>
    <row r="7" spans="1:35" x14ac:dyDescent="0.3">
      <c r="A7" s="8">
        <v>0.3</v>
      </c>
      <c r="B7" s="13">
        <f t="shared" si="0"/>
        <v>0.21026353755164626</v>
      </c>
      <c r="C7" s="20">
        <v>111348</v>
      </c>
      <c r="E7" s="8">
        <v>0.6</v>
      </c>
      <c r="F7" s="29">
        <f t="shared" si="1"/>
        <v>0.13091135548155605</v>
      </c>
      <c r="G7" s="31">
        <v>121713</v>
      </c>
      <c r="I7" s="5">
        <v>0.9</v>
      </c>
      <c r="J7" s="16">
        <f t="shared" si="2"/>
        <v>0.1116826296496706</v>
      </c>
      <c r="K7" s="23">
        <v>106088</v>
      </c>
      <c r="M7" s="5">
        <v>1.4</v>
      </c>
      <c r="N7" s="16">
        <f t="shared" si="3"/>
        <v>4.9375591589981345E-2</v>
      </c>
      <c r="O7" s="23">
        <v>60406</v>
      </c>
      <c r="Q7" s="5">
        <v>2</v>
      </c>
      <c r="R7" s="16">
        <f t="shared" si="4"/>
        <v>5.1472107807931315E-2</v>
      </c>
      <c r="S7" s="23">
        <v>50311</v>
      </c>
      <c r="U7" s="8">
        <v>4</v>
      </c>
      <c r="V7" s="13">
        <f t="shared" si="5"/>
        <v>3.6185223866018495E-2</v>
      </c>
      <c r="W7" s="23">
        <v>33712</v>
      </c>
      <c r="Y7" s="5">
        <v>5</v>
      </c>
      <c r="Z7" s="16">
        <f t="shared" si="8"/>
        <v>1.8346854726518917E-2</v>
      </c>
      <c r="AA7" s="23">
        <v>17316</v>
      </c>
      <c r="AC7" s="8">
        <v>8</v>
      </c>
      <c r="AD7" s="13">
        <f t="shared" si="6"/>
        <v>1.0672997563567918E-2</v>
      </c>
      <c r="AE7" s="23">
        <v>10785</v>
      </c>
      <c r="AG7" s="5">
        <v>9</v>
      </c>
      <c r="AH7" s="16">
        <f t="shared" si="7"/>
        <v>8.6414970648708237E-3</v>
      </c>
      <c r="AI7" s="23">
        <v>9570</v>
      </c>
    </row>
    <row r="8" spans="1:35" x14ac:dyDescent="0.3">
      <c r="A8" s="8">
        <v>0.2</v>
      </c>
      <c r="B8" s="13">
        <f t="shared" si="0"/>
        <v>0.21083004131700794</v>
      </c>
      <c r="C8" s="20">
        <v>111648</v>
      </c>
      <c r="E8" s="8">
        <v>0.2</v>
      </c>
      <c r="F8" s="29">
        <f t="shared" si="1"/>
        <v>0.28722777218479223</v>
      </c>
      <c r="G8" s="31">
        <v>267046</v>
      </c>
      <c r="I8" s="5">
        <v>0.3</v>
      </c>
      <c r="J8" s="16">
        <f t="shared" si="2"/>
        <v>0.15588700355614135</v>
      </c>
      <c r="K8" s="23">
        <v>148078</v>
      </c>
      <c r="M8" s="5">
        <v>0.4</v>
      </c>
      <c r="N8" s="16">
        <f t="shared" si="3"/>
        <v>0.13503373391161339</v>
      </c>
      <c r="O8" s="23">
        <v>165200</v>
      </c>
      <c r="Q8" s="5">
        <v>0.7</v>
      </c>
      <c r="R8" s="16">
        <f t="shared" si="4"/>
        <v>0.13131213923690613</v>
      </c>
      <c r="S8" s="23">
        <v>128350</v>
      </c>
      <c r="U8" s="8">
        <v>1</v>
      </c>
      <c r="V8" s="13">
        <f t="shared" si="5"/>
        <v>9.2180440959114512E-2</v>
      </c>
      <c r="W8" s="23">
        <v>85880</v>
      </c>
      <c r="Y8" s="5">
        <v>1.9</v>
      </c>
      <c r="Z8" s="16">
        <f t="shared" si="8"/>
        <v>6.4521255799612848E-2</v>
      </c>
      <c r="AA8" s="23">
        <v>60896</v>
      </c>
      <c r="AC8" s="8">
        <v>3</v>
      </c>
      <c r="AD8" s="13">
        <f t="shared" si="6"/>
        <v>4.1223401623364415E-2</v>
      </c>
      <c r="AE8" s="23">
        <v>41656</v>
      </c>
      <c r="AG8" s="5">
        <v>4</v>
      </c>
      <c r="AH8" s="16">
        <f t="shared" si="7"/>
        <v>2.4173617337895179E-2</v>
      </c>
      <c r="AI8" s="23">
        <v>26771</v>
      </c>
    </row>
    <row r="9" spans="1:35" x14ac:dyDescent="0.3">
      <c r="A9" s="8">
        <v>0.3</v>
      </c>
      <c r="B9" s="13">
        <f t="shared" si="0"/>
        <v>0.21026353755164626</v>
      </c>
      <c r="C9" s="20">
        <v>111348</v>
      </c>
      <c r="E9" s="8">
        <v>0.2</v>
      </c>
      <c r="F9" s="29">
        <f t="shared" si="1"/>
        <v>0.2849690664876911</v>
      </c>
      <c r="G9" s="31">
        <v>264946</v>
      </c>
      <c r="I9" s="5">
        <v>0.2</v>
      </c>
      <c r="J9" s="16">
        <f t="shared" si="2"/>
        <v>0.36059567999359937</v>
      </c>
      <c r="K9" s="23">
        <v>342532</v>
      </c>
      <c r="M9" s="5">
        <v>0.2</v>
      </c>
      <c r="N9" s="16">
        <f t="shared" si="3"/>
        <v>0.28823980421743373</v>
      </c>
      <c r="O9" s="23">
        <v>352632</v>
      </c>
      <c r="Q9" s="5">
        <v>0.2</v>
      </c>
      <c r="R9" s="16">
        <f t="shared" si="4"/>
        <v>0.20016532950292704</v>
      </c>
      <c r="S9" s="23">
        <v>195650</v>
      </c>
      <c r="U9" s="8">
        <v>0.2</v>
      </c>
      <c r="V9" s="13">
        <f t="shared" si="5"/>
        <v>0.18134473102052162</v>
      </c>
      <c r="W9" s="23">
        <v>168950</v>
      </c>
      <c r="Y9" s="5">
        <v>0.3</v>
      </c>
      <c r="Z9" s="16">
        <f t="shared" si="8"/>
        <v>0.12734726052724427</v>
      </c>
      <c r="AA9" s="23">
        <v>120192</v>
      </c>
      <c r="AC9" s="8">
        <v>0.5</v>
      </c>
      <c r="AD9" s="13">
        <f t="shared" si="6"/>
        <v>9.0395390769267309E-2</v>
      </c>
      <c r="AE9" s="23">
        <v>91344</v>
      </c>
      <c r="AG9" s="5">
        <v>2</v>
      </c>
      <c r="AH9" s="16">
        <f t="shared" si="7"/>
        <v>6.1537933643777083E-2</v>
      </c>
      <c r="AI9" s="23">
        <v>68150</v>
      </c>
    </row>
    <row r="10" spans="1:35" x14ac:dyDescent="0.3">
      <c r="A10" s="8">
        <v>1.5</v>
      </c>
      <c r="B10" s="13">
        <f t="shared" si="0"/>
        <v>0.15462720275547431</v>
      </c>
      <c r="C10" s="20">
        <v>81885</v>
      </c>
      <c r="E10" s="8">
        <v>0.6</v>
      </c>
      <c r="F10" s="29">
        <f t="shared" si="1"/>
        <v>0.13091135548155605</v>
      </c>
      <c r="G10" s="31">
        <v>121713</v>
      </c>
      <c r="I10" s="5">
        <v>0.3</v>
      </c>
      <c r="J10" s="16">
        <f t="shared" si="2"/>
        <v>0.15588700355614135</v>
      </c>
      <c r="K10" s="23">
        <v>148078</v>
      </c>
      <c r="M10" s="5">
        <v>0.2</v>
      </c>
      <c r="N10" s="16">
        <f t="shared" si="3"/>
        <v>0.28815806466906108</v>
      </c>
      <c r="O10" s="23">
        <v>352532</v>
      </c>
      <c r="Q10" s="5">
        <v>0.2</v>
      </c>
      <c r="R10" s="16">
        <f t="shared" si="4"/>
        <v>0.20047225308509353</v>
      </c>
      <c r="S10" s="23">
        <v>195950</v>
      </c>
      <c r="U10" s="8">
        <v>0.2</v>
      </c>
      <c r="V10" s="13">
        <f t="shared" si="5"/>
        <v>0.18134473102052162</v>
      </c>
      <c r="W10" s="23">
        <v>168950</v>
      </c>
      <c r="Y10" s="5">
        <v>0.2</v>
      </c>
      <c r="Z10" s="16">
        <f t="shared" si="8"/>
        <v>0.18960323708192195</v>
      </c>
      <c r="AA10" s="23">
        <v>178950</v>
      </c>
      <c r="AC10" s="8">
        <v>0.2</v>
      </c>
      <c r="AD10" s="13">
        <f t="shared" si="6"/>
        <v>0.1770916007418154</v>
      </c>
      <c r="AE10" s="23">
        <v>178950</v>
      </c>
      <c r="AG10" s="5">
        <v>0.2</v>
      </c>
      <c r="AH10" s="16">
        <f t="shared" si="7"/>
        <v>0.16158786831333688</v>
      </c>
      <c r="AI10" s="23">
        <v>178950</v>
      </c>
    </row>
    <row r="11" spans="1:35" x14ac:dyDescent="0.3">
      <c r="A11" s="8">
        <v>4</v>
      </c>
      <c r="B11" s="13">
        <f t="shared" si="0"/>
        <v>2.8089145032517315E-2</v>
      </c>
      <c r="C11" s="20">
        <v>14875</v>
      </c>
      <c r="E11" s="8">
        <v>2</v>
      </c>
      <c r="F11" s="29">
        <f t="shared" si="1"/>
        <v>7.0033859073973692E-2</v>
      </c>
      <c r="G11" s="31">
        <v>65113</v>
      </c>
      <c r="I11" s="5">
        <v>0.9</v>
      </c>
      <c r="J11" s="16">
        <f t="shared" si="2"/>
        <v>0.1116826296496706</v>
      </c>
      <c r="K11" s="23">
        <v>106088</v>
      </c>
      <c r="M11" s="5">
        <v>0.4</v>
      </c>
      <c r="N11" s="16">
        <f t="shared" si="3"/>
        <v>0.13503373391161339</v>
      </c>
      <c r="O11" s="23">
        <v>165200</v>
      </c>
      <c r="Q11" s="5">
        <v>0.2</v>
      </c>
      <c r="R11" s="16">
        <f t="shared" si="4"/>
        <v>0.20016532950292704</v>
      </c>
      <c r="S11" s="23">
        <v>195650</v>
      </c>
      <c r="U11" s="8">
        <v>0.2</v>
      </c>
      <c r="V11" s="13">
        <f t="shared" si="5"/>
        <v>0.18134473102052162</v>
      </c>
      <c r="W11" s="23">
        <v>168950</v>
      </c>
      <c r="Y11" s="5">
        <v>0.2</v>
      </c>
      <c r="Z11" s="16">
        <f t="shared" si="8"/>
        <v>0.18960323708192195</v>
      </c>
      <c r="AA11" s="23">
        <v>178950</v>
      </c>
      <c r="AC11" s="8">
        <v>0.2</v>
      </c>
      <c r="AD11" s="13">
        <f t="shared" si="6"/>
        <v>0.1770916007418154</v>
      </c>
      <c r="AE11" s="23">
        <v>178950</v>
      </c>
      <c r="AG11" s="5">
        <v>0.2</v>
      </c>
      <c r="AH11" s="16">
        <f t="shared" si="7"/>
        <v>0.16158786831333688</v>
      </c>
      <c r="AI11" s="23">
        <v>178950</v>
      </c>
    </row>
    <row r="12" spans="1:35" ht="15" thickBot="1" x14ac:dyDescent="0.35">
      <c r="A12" s="9">
        <v>29</v>
      </c>
      <c r="B12" s="14">
        <f t="shared" si="0"/>
        <v>1.6050940018581324E-3</v>
      </c>
      <c r="C12" s="21">
        <v>850</v>
      </c>
      <c r="E12" s="8">
        <v>7</v>
      </c>
      <c r="F12" s="29">
        <f t="shared" si="1"/>
        <v>9.9436829379522789E-3</v>
      </c>
      <c r="G12" s="31">
        <v>9245</v>
      </c>
      <c r="I12" s="5">
        <v>3</v>
      </c>
      <c r="J12" s="16">
        <f t="shared" si="2"/>
        <v>4.5315010116790504E-2</v>
      </c>
      <c r="K12" s="23">
        <v>43045</v>
      </c>
      <c r="M12" s="5">
        <v>1.4</v>
      </c>
      <c r="N12" s="16">
        <f t="shared" si="3"/>
        <v>4.9375591589981345E-2</v>
      </c>
      <c r="O12" s="23">
        <v>60406</v>
      </c>
      <c r="Q12" s="5">
        <v>0.7</v>
      </c>
      <c r="R12" s="16">
        <f t="shared" si="4"/>
        <v>0.13131213923690613</v>
      </c>
      <c r="S12" s="23">
        <v>128350</v>
      </c>
      <c r="U12" s="8">
        <v>0.2</v>
      </c>
      <c r="V12" s="13">
        <f t="shared" si="5"/>
        <v>0.18134473102052162</v>
      </c>
      <c r="W12" s="23">
        <v>168950</v>
      </c>
      <c r="Y12" s="5">
        <v>0.2</v>
      </c>
      <c r="Z12" s="16">
        <f t="shared" si="8"/>
        <v>0.18960323708192195</v>
      </c>
      <c r="AA12" s="23">
        <v>178950</v>
      </c>
      <c r="AC12" s="8">
        <v>0.2</v>
      </c>
      <c r="AD12" s="13">
        <f t="shared" si="6"/>
        <v>0.1770916007418154</v>
      </c>
      <c r="AE12" s="23">
        <v>178950</v>
      </c>
      <c r="AG12" s="5">
        <v>0.2</v>
      </c>
      <c r="AH12" s="16">
        <f t="shared" si="7"/>
        <v>0.16158786831333688</v>
      </c>
      <c r="AI12" s="23">
        <v>178950</v>
      </c>
    </row>
    <row r="13" spans="1:35" ht="15" thickBot="1" x14ac:dyDescent="0.35">
      <c r="E13" s="9">
        <v>43</v>
      </c>
      <c r="F13" s="30">
        <f t="shared" si="1"/>
        <v>3.0126831702762934E-3</v>
      </c>
      <c r="G13" s="32">
        <v>2801</v>
      </c>
      <c r="I13" s="5">
        <v>10</v>
      </c>
      <c r="J13" s="16">
        <f t="shared" si="2"/>
        <v>5.4910696426804335E-3</v>
      </c>
      <c r="K13" s="23">
        <v>5216</v>
      </c>
      <c r="M13" s="5">
        <v>5.2</v>
      </c>
      <c r="N13" s="16">
        <f t="shared" si="3"/>
        <v>2.3050552641086547E-2</v>
      </c>
      <c r="O13" s="23">
        <v>28200</v>
      </c>
      <c r="Q13" s="5">
        <v>2</v>
      </c>
      <c r="R13" s="16">
        <f t="shared" si="4"/>
        <v>5.1472107807931315E-2</v>
      </c>
      <c r="S13" s="23">
        <v>50311</v>
      </c>
      <c r="U13" s="8">
        <v>1</v>
      </c>
      <c r="V13" s="13">
        <f t="shared" si="5"/>
        <v>9.2180440959114512E-2</v>
      </c>
      <c r="W13" s="23">
        <v>85880</v>
      </c>
      <c r="Y13" s="5">
        <v>0.3</v>
      </c>
      <c r="Z13" s="16">
        <f t="shared" si="8"/>
        <v>0.12734726052724427</v>
      </c>
      <c r="AA13" s="23">
        <v>120192</v>
      </c>
      <c r="AC13" s="8">
        <v>0.2</v>
      </c>
      <c r="AD13" s="13">
        <f t="shared" si="6"/>
        <v>0.1770916007418154</v>
      </c>
      <c r="AE13" s="23">
        <v>178950</v>
      </c>
      <c r="AG13" s="5">
        <v>0.2</v>
      </c>
      <c r="AH13" s="16">
        <f t="shared" si="7"/>
        <v>0.16158786831333688</v>
      </c>
      <c r="AI13" s="23">
        <v>178950</v>
      </c>
    </row>
    <row r="14" spans="1:35" ht="15" thickBot="1" x14ac:dyDescent="0.35">
      <c r="A14" t="s">
        <v>4</v>
      </c>
      <c r="B14" s="1">
        <f>SUMPRODUCT(A4:A12,C4:C12)/SUM(C4:C12)</f>
        <v>0.95001435142872259</v>
      </c>
      <c r="C14" s="1"/>
      <c r="I14" s="6">
        <v>76</v>
      </c>
      <c r="J14" s="17">
        <f t="shared" si="2"/>
        <v>1.326447037917436E-3</v>
      </c>
      <c r="K14" s="24">
        <v>1260</v>
      </c>
      <c r="M14" s="5">
        <v>14</v>
      </c>
      <c r="N14" s="16">
        <f t="shared" si="3"/>
        <v>3.2695819349058933E-3</v>
      </c>
      <c r="O14" s="23">
        <v>4000</v>
      </c>
      <c r="Q14" s="5">
        <v>8.1</v>
      </c>
      <c r="R14" s="16">
        <f t="shared" si="4"/>
        <v>1.3832022769637482E-2</v>
      </c>
      <c r="S14" s="23">
        <v>13520</v>
      </c>
      <c r="U14" s="8">
        <v>4</v>
      </c>
      <c r="V14" s="13">
        <f t="shared" si="5"/>
        <v>3.6185223866018495E-2</v>
      </c>
      <c r="W14" s="23">
        <v>33712</v>
      </c>
      <c r="Y14" s="5">
        <v>1.9</v>
      </c>
      <c r="Z14" s="16">
        <f t="shared" si="8"/>
        <v>6.4521255799612848E-2</v>
      </c>
      <c r="AA14" s="23">
        <v>60896</v>
      </c>
      <c r="AC14" s="8">
        <v>0.5</v>
      </c>
      <c r="AD14" s="13">
        <f t="shared" si="6"/>
        <v>9.0395390769267309E-2</v>
      </c>
      <c r="AE14" s="23">
        <v>91344</v>
      </c>
      <c r="AG14" s="5">
        <v>0.2</v>
      </c>
      <c r="AH14" s="16">
        <f t="shared" si="7"/>
        <v>0.16158786831333688</v>
      </c>
      <c r="AI14" s="23">
        <v>178950</v>
      </c>
    </row>
    <row r="15" spans="1:35" ht="15" thickBot="1" x14ac:dyDescent="0.35">
      <c r="E15" t="s">
        <v>4</v>
      </c>
      <c r="F15" s="1">
        <f>SUMPRODUCT(E4:E13,G4:G13)/SUM(G4:G13)</f>
        <v>0.94997074438335183</v>
      </c>
      <c r="M15" s="6">
        <v>120</v>
      </c>
      <c r="N15" s="17">
        <f t="shared" si="3"/>
        <v>1.0716054791654066E-3</v>
      </c>
      <c r="O15" s="24">
        <v>1311</v>
      </c>
      <c r="Q15" s="5">
        <v>24</v>
      </c>
      <c r="R15" s="16">
        <f t="shared" si="4"/>
        <v>2.7213890952097414E-3</v>
      </c>
      <c r="S15" s="23">
        <v>2660</v>
      </c>
      <c r="U15" s="8">
        <v>11</v>
      </c>
      <c r="V15" s="13">
        <f t="shared" si="5"/>
        <v>8.0985261648406966E-3</v>
      </c>
      <c r="W15" s="23">
        <v>7545</v>
      </c>
      <c r="Y15" s="5">
        <v>5</v>
      </c>
      <c r="Z15" s="16">
        <f t="shared" si="8"/>
        <v>1.8346854726518917E-2</v>
      </c>
      <c r="AA15" s="23">
        <v>17316</v>
      </c>
      <c r="AC15" s="8">
        <v>3</v>
      </c>
      <c r="AD15" s="13">
        <f t="shared" si="6"/>
        <v>4.1223401623364415E-2</v>
      </c>
      <c r="AE15" s="23">
        <v>41656</v>
      </c>
      <c r="AG15" s="5">
        <v>2</v>
      </c>
      <c r="AH15" s="16">
        <f t="shared" si="7"/>
        <v>6.1537933643777083E-2</v>
      </c>
      <c r="AI15" s="23">
        <v>68150</v>
      </c>
    </row>
    <row r="16" spans="1:35" ht="15" thickBot="1" x14ac:dyDescent="0.35">
      <c r="B16" s="25"/>
      <c r="I16" t="s">
        <v>4</v>
      </c>
      <c r="J16" s="1">
        <f>SUMPRODUCT(I4:I14,J4:J14)</f>
        <v>0.95001147481961379</v>
      </c>
      <c r="K16" s="1"/>
      <c r="Q16" s="6">
        <v>170</v>
      </c>
      <c r="R16" s="17">
        <f t="shared" si="4"/>
        <v>2.5065425876931826E-4</v>
      </c>
      <c r="S16" s="24">
        <v>245</v>
      </c>
      <c r="U16" s="8">
        <v>37</v>
      </c>
      <c r="V16" s="13">
        <f t="shared" si="5"/>
        <v>6.4401798527560208E-4</v>
      </c>
      <c r="W16" s="23">
        <v>600</v>
      </c>
      <c r="Y16" s="5">
        <v>18</v>
      </c>
      <c r="Z16" s="16">
        <f t="shared" si="8"/>
        <v>4.6619404479489052E-3</v>
      </c>
      <c r="AA16" s="23">
        <v>4400</v>
      </c>
      <c r="AC16" s="8">
        <v>8</v>
      </c>
      <c r="AD16" s="13">
        <f t="shared" si="6"/>
        <v>1.0672997563567918E-2</v>
      </c>
      <c r="AE16" s="23">
        <v>10785</v>
      </c>
      <c r="AG16" s="5">
        <v>4</v>
      </c>
      <c r="AH16" s="16">
        <f t="shared" si="7"/>
        <v>2.4173617337895179E-2</v>
      </c>
      <c r="AI16" s="23">
        <v>26771</v>
      </c>
    </row>
    <row r="17" spans="2:35" ht="15" thickBot="1" x14ac:dyDescent="0.35">
      <c r="F17" s="28"/>
      <c r="M17" t="s">
        <v>4</v>
      </c>
      <c r="N17" s="1">
        <f>SUMPRODUCT(M4:M15,O4:O15)/SUM(O4:O15)</f>
        <v>0.95001757400290021</v>
      </c>
      <c r="O17" s="1"/>
      <c r="U17" s="9">
        <v>260</v>
      </c>
      <c r="V17" s="14">
        <f t="shared" si="5"/>
        <v>2.0286566536181468E-4</v>
      </c>
      <c r="W17" s="24">
        <v>189</v>
      </c>
      <c r="Y17" s="5">
        <v>56</v>
      </c>
      <c r="Z17" s="16">
        <f t="shared" si="8"/>
        <v>6.0393319439338092E-4</v>
      </c>
      <c r="AA17" s="23">
        <v>570</v>
      </c>
      <c r="AC17" s="8">
        <v>27</v>
      </c>
      <c r="AD17" s="13">
        <f t="shared" si="6"/>
        <v>3.0222841501285512E-3</v>
      </c>
      <c r="AE17" s="23">
        <v>3054</v>
      </c>
      <c r="AG17" s="5">
        <v>9</v>
      </c>
      <c r="AH17" s="16">
        <f t="shared" si="7"/>
        <v>8.6414970648708237E-3</v>
      </c>
      <c r="AI17" s="23">
        <v>9570</v>
      </c>
    </row>
    <row r="18" spans="2:35" ht="15" thickBot="1" x14ac:dyDescent="0.35">
      <c r="J18" s="28"/>
      <c r="Q18" t="s">
        <v>4</v>
      </c>
      <c r="R18" s="1">
        <f>SUMPRODUCT(Q4:Q16,S4:S16)/SUM(S4:S16)</f>
        <v>0.94997964073571628</v>
      </c>
      <c r="S18" s="1"/>
      <c r="Y18" s="6">
        <v>420</v>
      </c>
      <c r="Z18" s="17">
        <f t="shared" si="8"/>
        <v>1.1442944735874586E-4</v>
      </c>
      <c r="AA18" s="24">
        <v>108</v>
      </c>
      <c r="AC18" s="8">
        <v>83</v>
      </c>
      <c r="AD18" s="13">
        <f t="shared" si="6"/>
        <v>4.532436610212431E-4</v>
      </c>
      <c r="AE18" s="23">
        <v>458</v>
      </c>
      <c r="AG18" s="5">
        <v>26</v>
      </c>
      <c r="AH18" s="16">
        <f t="shared" si="7"/>
        <v>1.3860708458282879E-3</v>
      </c>
      <c r="AI18" s="23">
        <v>1535</v>
      </c>
    </row>
    <row r="19" spans="2:35" ht="15" thickBot="1" x14ac:dyDescent="0.35">
      <c r="F19" s="27"/>
      <c r="N19" s="28"/>
      <c r="U19" t="s">
        <v>4</v>
      </c>
      <c r="V19" s="1">
        <f>SUMPRODUCT(U4:U17,V4:V17)</f>
        <v>0.94995443572754168</v>
      </c>
      <c r="W19" s="1"/>
      <c r="AC19" s="9">
        <v>620</v>
      </c>
      <c r="AD19" s="14">
        <f t="shared" si="6"/>
        <v>4.948074901978636E-5</v>
      </c>
      <c r="AE19" s="24">
        <v>50</v>
      </c>
      <c r="AG19" s="5">
        <v>130</v>
      </c>
      <c r="AH19" s="16">
        <f t="shared" si="7"/>
        <v>2.6547545841922911E-4</v>
      </c>
      <c r="AI19" s="23">
        <v>294</v>
      </c>
    </row>
    <row r="20" spans="2:35" ht="15" thickBot="1" x14ac:dyDescent="0.35">
      <c r="B20" s="26"/>
      <c r="Y20" t="s">
        <v>4</v>
      </c>
      <c r="Z20" s="1">
        <f>SUMPRODUCT(Y4:Y18,Z4:Z18)</f>
        <v>0.94996572414238833</v>
      </c>
      <c r="AA20" s="1"/>
      <c r="AG20" s="6">
        <v>1000</v>
      </c>
      <c r="AH20" s="17">
        <f t="shared" si="7"/>
        <v>2.6186354742032803E-5</v>
      </c>
      <c r="AI20" s="24">
        <v>29</v>
      </c>
    </row>
    <row r="21" spans="2:35" x14ac:dyDescent="0.3">
      <c r="V21" s="28"/>
      <c r="AC21" t="s">
        <v>4</v>
      </c>
      <c r="AD21" s="1">
        <f>SUMPRODUCT(AC4:AC19,AD4:AD19)</f>
        <v>0.94997496274099602</v>
      </c>
      <c r="AE21" s="1"/>
    </row>
    <row r="22" spans="2:35" x14ac:dyDescent="0.3">
      <c r="AG22" t="s">
        <v>4</v>
      </c>
      <c r="AH22" s="1">
        <f>SUMPRODUCT(AG4:AG20,AH4:AH20)</f>
        <v>0.95003011430795337</v>
      </c>
    </row>
    <row r="23" spans="2:35" x14ac:dyDescent="0.3">
      <c r="AD23" s="28"/>
    </row>
    <row r="24" spans="2:35" x14ac:dyDescent="0.3">
      <c r="AH24" s="2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Low</vt:lpstr>
      <vt:lpstr>Medium</vt:lpstr>
      <vt:lpstr>High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C Rim93</dc:creator>
  <cp:lastModifiedBy>Rimziiii</cp:lastModifiedBy>
  <dcterms:created xsi:type="dcterms:W3CDTF">2023-05-23T07:30:42Z</dcterms:created>
  <dcterms:modified xsi:type="dcterms:W3CDTF">2023-09-06T07:06:40Z</dcterms:modified>
</cp:coreProperties>
</file>